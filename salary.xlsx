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ратыДоходы(2024)" sheetId="1" r:id="rId5"/>
    <sheet state="visible" name="ТратыДоходы(2025" sheetId="2" r:id="rId6"/>
    <sheet state="visible" name="ТратыДоходы(2026" sheetId="3" r:id="rId7"/>
    <sheet state="visible" name="New Траты (2026)" sheetId="4" r:id="rId8"/>
    <sheet state="visible" name="Инвестиции" sheetId="5" r:id="rId9"/>
  </sheets>
  <definedNames/>
  <calcPr/>
</workbook>
</file>

<file path=xl/sharedStrings.xml><?xml version="1.0" encoding="utf-8"?>
<sst xmlns="http://schemas.openxmlformats.org/spreadsheetml/2006/main" count="382" uniqueCount="128">
  <si>
    <t>РАСХОДЫ 2025</t>
  </si>
  <si>
    <t>Январь</t>
  </si>
  <si>
    <t>Февраль</t>
  </si>
  <si>
    <t>Март</t>
  </si>
  <si>
    <t>Апрель</t>
  </si>
  <si>
    <t>РАСХОДЫ 2024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</si>
  <si>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</si>
  <si>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</si>
  <si>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</si>
  <si>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</si>
  <si>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</si>
  <si>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</si>
  <si>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</si>
  <si>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РАСХОДЫ 2026</t>
  </si>
  <si>
    <t>Декабрь</t>
  </si>
  <si>
    <t>ТГК-1 Декабристов</t>
  </si>
  <si>
    <t>ТГК-1 Пражская</t>
  </si>
  <si>
    <t>Комм + Электричество Декабристов и Пражская</t>
  </si>
  <si>
    <t>Телефон Пражская + Декабристов</t>
  </si>
  <si>
    <t>Газ Декабристов</t>
  </si>
  <si>
    <t>Мобильный телефон</t>
  </si>
  <si>
    <t>Интернет</t>
  </si>
  <si>
    <t>Всё что не подходит в другие категориии (обычно всякая фигня)</t>
  </si>
  <si>
    <t>Книги + Самообразование + OZON</t>
  </si>
  <si>
    <t>Кр.</t>
  </si>
  <si>
    <t>Билеты (РЖД/Самолеты)</t>
  </si>
  <si>
    <t>Подарки родным/друзьям</t>
  </si>
  <si>
    <t>Продукты</t>
  </si>
  <si>
    <t>Книги + Самообразование</t>
  </si>
  <si>
    <t>Траты на дачу</t>
  </si>
  <si>
    <t>Такси</t>
  </si>
  <si>
    <t>Кофе</t>
  </si>
  <si>
    <t>Массаж</t>
  </si>
  <si>
    <t>Медицина</t>
  </si>
  <si>
    <t>Одежда</t>
  </si>
  <si>
    <t>Рестораны</t>
  </si>
  <si>
    <t>Машина (ремонт + бенз + парковка + мойка + штрафы)</t>
  </si>
  <si>
    <t>Театры и Музеи + Кино + Баня + отели + стрижка</t>
  </si>
  <si>
    <t>Всё что не подходит в другие категориии + стрижки</t>
  </si>
  <si>
    <t>Итого за каждый месяц + кредит</t>
  </si>
  <si>
    <t>Машина (все траты)</t>
  </si>
  <si>
    <t>Итого за каждый месяц</t>
  </si>
  <si>
    <t>Итого за 12 месяцев - все расходы</t>
  </si>
  <si>
    <t>&lt;= 120k</t>
  </si>
  <si>
    <t>Театры и Музеи + Кино + Баня</t>
  </si>
  <si>
    <t>&gt;173к</t>
  </si>
  <si>
    <t>&lt;= 173к &amp; &gt;= 120k</t>
  </si>
  <si>
    <t>&gt;250k</t>
  </si>
  <si>
    <t>ДОХОДЫ 2025</t>
  </si>
  <si>
    <t>Моя зарплата ТК РФ</t>
  </si>
  <si>
    <t>Квартплата Декабристов Жильцы</t>
  </si>
  <si>
    <t>Коммуналка Декабристов Жильцы</t>
  </si>
  <si>
    <t>ДОХОДЫ 2026</t>
  </si>
  <si>
    <t>Дополнительный доход</t>
  </si>
  <si>
    <t>Проценты по вкладу</t>
  </si>
  <si>
    <t>Бонусные балы</t>
  </si>
  <si>
    <t>Алкаш</t>
  </si>
  <si>
    <t>Дача /Алкаш</t>
  </si>
  <si>
    <t>Алкаш/Глупость</t>
  </si>
  <si>
    <t>Дача</t>
  </si>
  <si>
    <t>ДОХОДЫ 2024</t>
  </si>
  <si>
    <t>Итого за 12 месяцев</t>
  </si>
  <si>
    <t>РАЗНИЦА МЕСЯЧНАЯ ДОХОД МИНУС РАСХОД</t>
  </si>
  <si>
    <t>ЕЩЕ РАСХОДЫ 2024</t>
  </si>
  <si>
    <t>Налоги Мои + Бабушка</t>
  </si>
  <si>
    <t>Годовая оплата дачи</t>
  </si>
  <si>
    <t>Кредит</t>
  </si>
  <si>
    <t>Годовой профит (2024)</t>
  </si>
  <si>
    <t>На самый черный день</t>
  </si>
  <si>
    <t>Январь 2024</t>
  </si>
  <si>
    <t>Апрель 2024</t>
  </si>
  <si>
    <t xml:space="preserve">Апрель 2024 </t>
  </si>
  <si>
    <t>Март 2025</t>
  </si>
  <si>
    <t>Доллары</t>
  </si>
  <si>
    <t>Золото 20 гр</t>
  </si>
  <si>
    <t>Курс по которому купил</t>
  </si>
  <si>
    <t>Рубли потраченные на доллары</t>
  </si>
  <si>
    <t>Рубли потраченные на золото</t>
  </si>
  <si>
    <t>Текущий Курс (Google Finance)</t>
  </si>
  <si>
    <t>Текущий Курс (ЦБ РФ)</t>
  </si>
  <si>
    <t>Сколько приобрёл/потерял на курсе доллара (ЦБ)</t>
  </si>
  <si>
    <t>Сколько приобрёл/потерял на курсе доллара (Google)</t>
  </si>
  <si>
    <t>Итого подушка (сколько фактически потратил на её формирование) 2024 год</t>
  </si>
  <si>
    <t>Итого подушка (сколько фактически потратил на её формирование) 2025 ( 06.03 )</t>
  </si>
  <si>
    <t>Всего</t>
  </si>
  <si>
    <t>Золото</t>
  </si>
  <si>
    <t>20 гр.</t>
  </si>
  <si>
    <t>Рубли</t>
  </si>
  <si>
    <t>ОСТАТОК НА 15.01.2024</t>
  </si>
  <si>
    <t>ОСТАТОК НА 23.12.2024</t>
  </si>
  <si>
    <t>ОСТАТОК НА 23.12.2025</t>
  </si>
  <si>
    <t>20.02.2024 Бабушка дала денег для вклада</t>
  </si>
  <si>
    <t>ОСТАТОК НА 14.01.2026</t>
  </si>
  <si>
    <t>2024 год</t>
  </si>
  <si>
    <t>2025 год</t>
  </si>
  <si>
    <t>Итого подушка (сколько фактически потратил на её формирование)</t>
  </si>
  <si>
    <t>Апрель 25.04</t>
  </si>
  <si>
    <t>Май 17.05</t>
  </si>
  <si>
    <t>Май 23.05</t>
  </si>
  <si>
    <t>Май 28.05</t>
  </si>
  <si>
    <t>Июнь 06.06</t>
  </si>
  <si>
    <t>Июль 17.07</t>
  </si>
  <si>
    <t>Август 18.08</t>
  </si>
  <si>
    <t>Октябрь 21.10</t>
  </si>
  <si>
    <t>Декабрь 01.12</t>
  </si>
  <si>
    <t>Февраль 02.02</t>
  </si>
  <si>
    <t>Февраль 18.02</t>
  </si>
  <si>
    <t>Март 05.03</t>
  </si>
  <si>
    <t>Март 06.03</t>
  </si>
  <si>
    <t>Март 18.03</t>
  </si>
  <si>
    <t>Сентябрь 06.09</t>
  </si>
  <si>
    <t>банк без подушки</t>
  </si>
  <si>
    <t>Итого подушка (СТОИМОСТЬ СОГЛАСНО КУРСУ)</t>
  </si>
  <si>
    <t>Фининди портфель акций</t>
  </si>
  <si>
    <t>https://snowball-income.com/public/portfolios/UQqAIwzzQO</t>
  </si>
  <si>
    <t>Статистика по брокерам</t>
  </si>
  <si>
    <t>https://smart-lab.ru/brokers-rating/russia/stat/</t>
  </si>
  <si>
    <t xml:space="preserve">Завести свой портфель акций  </t>
  </si>
  <si>
    <t>https://snowball-income.com/</t>
  </si>
  <si>
    <t>Рейтинг банков по надёжности</t>
  </si>
  <si>
    <t>https://finuslugi.ru/finansovyj_rejting_bankov</t>
  </si>
  <si>
    <t>У какого брокера открыть?</t>
  </si>
  <si>
    <t>Альфа или сбер? Может быть другой банк?</t>
  </si>
  <si>
    <r>
      <rPr/>
      <t xml:space="preserve">Рейтинг брокеров </t>
    </r>
    <r>
      <rPr>
        <color rgb="FF1155CC"/>
        <u/>
      </rPr>
      <t>https://www.markswebb.ru/report/digital-investment-rank-2024/#rating</t>
    </r>
  </si>
  <si>
    <t>Проценты по вкладу за 2024 год</t>
  </si>
  <si>
    <t>Проценты по вкладу за 2025 год</t>
  </si>
  <si>
    <t>НЕ ЗАБУДЬ ПРО НАЛОГОВЫЙ ВЫЧЕТ НА ЛЕЧЕНИЕ В САНАТОРИИ!!!</t>
  </si>
  <si>
    <t>Проценты по вкладу за 2026 год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</si>
</sst>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d.mm"/>
    <numFmt numFmtId="166" formatCode="d.m.yyyy"/>
  </numFmts>
  <fonts count="13">
    <font>
      <sz val="10.0"/>
      <color rgb="FF000000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</font>
    <font>
      <color theme="1"/>
      <name val="Arial"/>
    </font>
    <font>
      <color rgb="FF000000"/>
      <name val="Arial"/>
      <scheme val="minor"/>
    </font>
    <font>
      <sz val="11.0"/>
      <color rgb="FF000000"/>
      <name val="Arial"/>
    </font>
    <font>
      <sz val="9.0"/>
      <color rgb="FFDD1144"/>
      <name val="Monaco"/>
    </font>
    <font>
      <sz val="9.0"/>
      <color rgb="FF777777"/>
      <name val="&quot;Google Sans Mono&quot;"/>
    </font>
    <font>
      <color rgb="FFFF0000"/>
      <name val="Arial"/>
      <scheme val="minor"/>
    </font>
    <font/>
    <font>
      <u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7F7F9"/>
        <bgColor rgb="FFF7F7F9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vertical="bottom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4" xfId="0" applyAlignment="1" applyBorder="1" applyFont="1" applyNumberFormat="1">
      <alignment readingOrder="0"/>
    </xf>
    <xf borderId="2" fillId="0" fontId="4" numFmtId="0" xfId="0" applyAlignment="1" applyBorder="1" applyFont="1">
      <alignment horizontal="center" vertical="bottom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6" fillId="0" fontId="2" numFmtId="4" xfId="0" applyAlignment="1" applyBorder="1" applyFont="1" applyNumberFormat="1">
      <alignment readingOrder="0"/>
    </xf>
    <xf borderId="0" fillId="0" fontId="4" numFmtId="0" xfId="0" applyAlignment="1" applyFont="1">
      <alignment vertical="bottom"/>
    </xf>
    <xf borderId="2" fillId="0" fontId="4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4" fillId="0" fontId="4" numFmtId="0" xfId="0" applyAlignment="1" applyBorder="1" applyFont="1">
      <alignment horizontal="right" vertical="bottom"/>
    </xf>
    <xf borderId="7" fillId="0" fontId="2" numFmtId="0" xfId="0" applyAlignment="1" applyBorder="1" applyFont="1">
      <alignment readingOrder="0"/>
    </xf>
    <xf borderId="4" fillId="0" fontId="4" numFmtId="0" xfId="0" applyAlignment="1" applyBorder="1" applyFont="1">
      <alignment vertical="bottom"/>
    </xf>
    <xf borderId="4" fillId="0" fontId="4" numFmtId="4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horizontal="right" vertical="bottom"/>
    </xf>
    <xf borderId="8" fillId="0" fontId="2" numFmtId="4" xfId="0" applyAlignment="1" applyBorder="1" applyFont="1" applyNumberFormat="1">
      <alignment readingOrder="0"/>
    </xf>
    <xf borderId="6" fillId="0" fontId="4" numFmtId="0" xfId="0" applyAlignment="1" applyBorder="1" applyFont="1">
      <alignment horizontal="right" vertical="bottom"/>
    </xf>
    <xf borderId="6" fillId="0" fontId="4" numFmtId="0" xfId="0" applyAlignment="1" applyBorder="1" applyFont="1">
      <alignment vertical="bottom"/>
    </xf>
    <xf borderId="8" fillId="0" fontId="2" numFmtId="0" xfId="0" applyAlignment="1" applyBorder="1" applyFont="1">
      <alignment readingOrder="0"/>
    </xf>
    <xf borderId="6" fillId="0" fontId="4" numFmtId="4" xfId="0" applyAlignment="1" applyBorder="1" applyFont="1" applyNumberFormat="1">
      <alignment horizontal="right" vertical="bottom"/>
    </xf>
    <xf borderId="8" fillId="0" fontId="2" numFmtId="3" xfId="0" applyAlignment="1" applyBorder="1" applyFont="1" applyNumberFormat="1">
      <alignment readingOrder="0"/>
    </xf>
    <xf borderId="5" fillId="0" fontId="2" numFmtId="0" xfId="0" applyBorder="1" applyFont="1"/>
    <xf borderId="8" fillId="0" fontId="2" numFmtId="0" xfId="0" applyBorder="1" applyFont="1"/>
    <xf borderId="8" fillId="0" fontId="2" numFmtId="0" xfId="0" applyBorder="1" applyFont="1"/>
    <xf borderId="8" fillId="0" fontId="2" numFmtId="4" xfId="0" applyBorder="1" applyFont="1" applyNumberFormat="1"/>
    <xf borderId="6" fillId="2" fontId="4" numFmtId="0" xfId="0" applyAlignment="1" applyBorder="1" applyFill="1" applyFont="1">
      <alignment horizontal="right" vertical="bottom"/>
    </xf>
    <xf borderId="5" fillId="0" fontId="2" numFmtId="4" xfId="0" applyAlignment="1" applyBorder="1" applyFont="1" applyNumberFormat="1">
      <alignment readingOrder="0"/>
    </xf>
    <xf borderId="7" fillId="0" fontId="2" numFmtId="4" xfId="0" applyAlignment="1" applyBorder="1" applyFont="1" applyNumberFormat="1">
      <alignment readingOrder="0"/>
    </xf>
    <xf borderId="7" fillId="0" fontId="2" numFmtId="3" xfId="0" applyAlignment="1" applyBorder="1" applyFont="1" applyNumberFormat="1">
      <alignment readingOrder="0"/>
    </xf>
    <xf borderId="7" fillId="0" fontId="4" numFmtId="0" xfId="0" applyAlignment="1" applyBorder="1" applyFont="1">
      <alignment vertical="bottom"/>
    </xf>
    <xf borderId="5" fillId="0" fontId="2" numFmtId="3" xfId="0" applyAlignment="1" applyBorder="1" applyFont="1" applyNumberFormat="1">
      <alignment readingOrder="0"/>
    </xf>
    <xf borderId="7" fillId="0" fontId="2" numFmtId="0" xfId="0" applyBorder="1" applyFont="1"/>
    <xf borderId="7" fillId="0" fontId="2" numFmtId="4" xfId="0" applyBorder="1" applyFont="1" applyNumberFormat="1"/>
    <xf borderId="0" fillId="0" fontId="4" numFmtId="0" xfId="0" applyAlignment="1" applyFont="1">
      <alignment horizontal="right" vertical="bottom"/>
    </xf>
    <xf borderId="7" fillId="0" fontId="4" numFmtId="0" xfId="0" applyAlignment="1" applyBorder="1" applyFont="1">
      <alignment horizontal="right" vertical="bottom"/>
    </xf>
    <xf borderId="8" fillId="0" fontId="4" numFmtId="0" xfId="0" applyAlignment="1" applyBorder="1" applyFont="1">
      <alignment horizontal="right" vertical="bottom"/>
    </xf>
    <xf borderId="8" fillId="0" fontId="4" numFmtId="0" xfId="0" applyAlignment="1" applyBorder="1" applyFont="1">
      <alignment vertical="bottom"/>
    </xf>
    <xf borderId="8" fillId="0" fontId="4" numFmtId="4" xfId="0" applyAlignment="1" applyBorder="1" applyFont="1" applyNumberFormat="1">
      <alignment horizontal="right" vertical="bottom"/>
    </xf>
    <xf borderId="6" fillId="0" fontId="2" numFmtId="3" xfId="0" applyAlignment="1" applyBorder="1" applyFont="1" applyNumberFormat="1">
      <alignment readingOrder="0"/>
    </xf>
    <xf borderId="8" fillId="0" fontId="4" numFmtId="3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vertical="bottom"/>
    </xf>
    <xf borderId="8" fillId="0" fontId="4" numFmtId="4" xfId="0" applyAlignment="1" applyBorder="1" applyFont="1" applyNumberFormat="1">
      <alignment vertical="bottom"/>
    </xf>
    <xf borderId="7" fillId="2" fontId="4" numFmtId="4" xfId="0" applyAlignment="1" applyBorder="1" applyFill="1" applyFont="1" applyNumberFormat="1">
      <alignment horizontal="right" vertical="bottom"/>
    </xf>
    <xf borderId="7" fillId="0" fontId="4" numFmtId="3" xfId="0" applyAlignment="1" applyBorder="1" applyFont="1" applyNumberFormat="1">
      <alignment horizontal="right" vertical="bottom"/>
    </xf>
    <xf borderId="0" fillId="0" fontId="2" numFmtId="3" xfId="0" applyAlignment="1" applyFont="1" applyNumberFormat="1">
      <alignment readingOrder="0"/>
    </xf>
    <xf borderId="7" fillId="0" fontId="4" numFmtId="4" xfId="0" applyAlignment="1" applyBorder="1" applyFont="1" applyNumberFormat="1">
      <alignment horizontal="right" vertical="bottom"/>
    </xf>
    <xf borderId="5" fillId="0" fontId="2" numFmtId="4" xfId="0" applyBorder="1" applyFont="1" applyNumberFormat="1"/>
    <xf borderId="7" fillId="0" fontId="4" numFmtId="3" xfId="0" applyAlignment="1" applyBorder="1" applyFont="1" applyNumberFormat="1">
      <alignment vertical="bottom"/>
    </xf>
    <xf borderId="7" fillId="0" fontId="4" numFmtId="4" xfId="0" applyAlignment="1" applyBorder="1" applyFont="1" applyNumberFormat="1">
      <alignment vertical="bottom"/>
    </xf>
    <xf borderId="9" fillId="0" fontId="2" numFmtId="0" xfId="0" applyAlignment="1" applyBorder="1" applyFont="1">
      <alignment readingOrder="0"/>
    </xf>
    <xf borderId="6" fillId="0" fontId="5" numFmtId="4" xfId="0" applyBorder="1" applyFont="1" applyNumberFormat="1"/>
    <xf borderId="0" fillId="3" fontId="2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6" fontId="6" numFmtId="4" xfId="0" applyAlignment="1" applyFill="1" applyFont="1" applyNumberFormat="1">
      <alignment horizontal="right" readingOrder="0"/>
    </xf>
    <xf borderId="5" fillId="3" fontId="4" numFmtId="0" xfId="0" applyAlignment="1" applyBorder="1" applyFill="1" applyFont="1">
      <alignment horizontal="right" vertical="bottom"/>
    </xf>
    <xf borderId="5" fillId="4" fontId="4" numFmtId="0" xfId="0" applyAlignment="1" applyBorder="1" applyFill="1" applyFont="1">
      <alignment horizontal="right" vertical="bottom"/>
    </xf>
    <xf borderId="5" fillId="5" fontId="4" numFmtId="0" xfId="0" applyAlignment="1" applyBorder="1" applyFill="1" applyFont="1">
      <alignment horizontal="right" vertical="bottom"/>
    </xf>
    <xf borderId="0" fillId="0" fontId="2" numFmtId="0" xfId="0" applyAlignment="1" applyFont="1">
      <alignment readingOrder="0"/>
    </xf>
    <xf borderId="10" fillId="0" fontId="2" numFmtId="0" xfId="0" applyAlignment="1" applyBorder="1" applyFont="1">
      <alignment readingOrder="0"/>
    </xf>
    <xf borderId="5" fillId="5" fontId="4" numFmtId="4" xfId="0" applyAlignment="1" applyBorder="1" applyFill="1" applyFont="1" applyNumberFormat="1">
      <alignment horizontal="right" vertical="bottom"/>
    </xf>
    <xf borderId="6" fillId="0" fontId="2" numFmtId="4" xfId="0" applyBorder="1" applyFont="1" applyNumberFormat="1"/>
    <xf borderId="5" fillId="0" fontId="4" numFmtId="4" xfId="0" applyAlignment="1" applyBorder="1" applyFont="1" applyNumberFormat="1">
      <alignment horizontal="right" vertical="bottom"/>
    </xf>
    <xf borderId="11" fillId="0" fontId="2" numFmtId="0" xfId="0" applyAlignment="1" applyBorder="1" applyFont="1">
      <alignment readingOrder="0"/>
    </xf>
    <xf borderId="3" fillId="0" fontId="2" numFmtId="4" xfId="0" applyBorder="1" applyFont="1" applyNumberFormat="1"/>
    <xf borderId="9" fillId="0" fontId="4" numFmtId="0" xfId="0" applyAlignment="1" applyBorder="1" applyFont="1">
      <alignment vertical="bottom"/>
    </xf>
    <xf borderId="0" fillId="3" fontId="4" numFmtId="0" xfId="0" applyAlignment="1" applyFill="1" applyFont="1">
      <alignment vertical="bottom"/>
    </xf>
    <xf borderId="0" fillId="2" fontId="4" numFmtId="0" xfId="0" applyAlignment="1" applyFill="1" applyFont="1">
      <alignment vertical="bottom"/>
    </xf>
    <xf borderId="0" fillId="4" fontId="4" numFmtId="0" xfId="0" applyAlignment="1" applyFill="1" applyFont="1">
      <alignment vertical="bottom"/>
    </xf>
    <xf borderId="0" fillId="5" fontId="4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6" fillId="0" fontId="4" numFmtId="3" xfId="0" applyAlignment="1" applyBorder="1" applyFont="1" applyNumberFormat="1">
      <alignment horizontal="right" vertical="bottom"/>
    </xf>
    <xf borderId="10" fillId="0" fontId="4" numFmtId="0" xfId="0" applyAlignment="1" applyBorder="1" applyFont="1">
      <alignment vertical="bottom"/>
    </xf>
    <xf borderId="0" fillId="0" fontId="2" numFmtId="4" xfId="0" applyFont="1" applyNumberFormat="1"/>
    <xf borderId="11" fillId="0" fontId="4" numFmtId="0" xfId="0" applyAlignment="1" applyBorder="1" applyFont="1">
      <alignment vertical="bottom"/>
    </xf>
    <xf borderId="3" fillId="0" fontId="4" numFmtId="3" xfId="0" applyAlignment="1" applyBorder="1" applyFont="1" applyNumberFormat="1">
      <alignment horizontal="right" vertical="bottom"/>
    </xf>
    <xf borderId="3" fillId="0" fontId="4" numFmtId="4" xfId="0" applyAlignment="1" applyBorder="1" applyFont="1" applyNumberFormat="1">
      <alignment horizontal="right" vertical="bottom"/>
    </xf>
    <xf borderId="6" fillId="0" fontId="2" numFmtId="0" xfId="0" applyBorder="1" applyFont="1"/>
    <xf borderId="0" fillId="0" fontId="4" numFmtId="3" xfId="0" applyAlignment="1" applyFont="1" applyNumberFormat="1">
      <alignment horizontal="right" vertical="bottom"/>
    </xf>
    <xf borderId="0" fillId="0" fontId="4" numFmtId="4" xfId="0" applyAlignment="1" applyFont="1" applyNumberFormat="1">
      <alignment horizontal="right" vertical="bottom"/>
    </xf>
    <xf borderId="6" fillId="0" fontId="2" numFmtId="164" xfId="0" applyAlignment="1" applyBorder="1" applyFont="1" applyNumberFormat="1">
      <alignment readingOrder="0"/>
    </xf>
    <xf borderId="6" fillId="7" fontId="7" numFmtId="0" xfId="0" applyBorder="1" applyFill="1" applyFont="1"/>
    <xf borderId="6" fillId="6" fontId="8" numFmtId="0" xfId="0" applyAlignment="1" applyBorder="1" applyFill="1" applyFont="1">
      <alignment horizontal="left" shrinkToFit="0" wrapText="1"/>
    </xf>
    <xf borderId="0" fillId="0" fontId="2" numFmtId="0" xfId="0" applyAlignment="1" applyFont="1">
      <alignment readingOrder="0"/>
    </xf>
    <xf borderId="2" fillId="6" fontId="0" numFmtId="0" xfId="0" applyBorder="1" applyFill="1" applyFont="1"/>
    <xf borderId="0" fillId="0" fontId="2" numFmtId="0" xfId="0" applyFont="1"/>
    <xf borderId="6" fillId="0" fontId="4" numFmtId="164" xfId="0" applyAlignment="1" applyBorder="1" applyFont="1" applyNumberFormat="1">
      <alignment vertical="bottom"/>
    </xf>
    <xf borderId="6" fillId="7" fontId="7" numFmtId="0" xfId="0" applyAlignment="1" applyBorder="1" applyFill="1" applyFont="1">
      <alignment horizontal="right" vertical="bottom"/>
    </xf>
    <xf borderId="6" fillId="6" fontId="4" numFmtId="0" xfId="0" applyAlignment="1" applyBorder="1" applyFill="1" applyFont="1">
      <alignment vertical="bottom"/>
    </xf>
    <xf borderId="10" fillId="0" fontId="2" numFmtId="0" xfId="0" applyBorder="1" applyFont="1"/>
    <xf borderId="2" fillId="0" fontId="2" numFmtId="3" xfId="0" applyAlignment="1" applyBorder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9" numFmtId="0" xfId="0" applyAlignment="1" applyFont="1">
      <alignment readingOrder="0"/>
    </xf>
    <xf borderId="12" fillId="0" fontId="2" numFmtId="0" xfId="0" applyAlignment="1" applyBorder="1" applyFont="1">
      <alignment horizontal="center" readingOrder="0"/>
    </xf>
    <xf borderId="5" fillId="0" fontId="10" numFmtId="0" xfId="0" applyBorder="1" applyFont="1"/>
    <xf borderId="2" fillId="6" fontId="4" numFmtId="0" xfId="0" applyAlignment="1" applyBorder="1" applyFill="1" applyFont="1">
      <alignment horizontal="right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0" numFmtId="0" xfId="0" applyAlignment="1" applyFont="1">
      <alignment horizontal="center"/>
    </xf>
    <xf borderId="0" fillId="0" fontId="4" numFmtId="0" xfId="0" applyAlignment="1" applyFont="1">
      <alignment readingOrder="0" vertical="bottom"/>
    </xf>
    <xf borderId="2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2" numFmtId="166" xfId="0" applyAlignment="1" applyFont="1" applyNumberFormat="1">
      <alignment readingOrder="0"/>
    </xf>
    <xf borderId="0" fillId="0" fontId="4" numFmtId="165" xfId="0" applyAlignment="1" applyFont="1" applyNumberFormat="1">
      <alignment vertical="bottom"/>
    </xf>
    <xf borderId="12" fillId="0" fontId="4" numFmtId="0" xfId="0" applyAlignment="1" applyBorder="1" applyFont="1">
      <alignment horizontal="center" vertical="bottom"/>
    </xf>
    <xf borderId="0" fillId="6" fontId="4" numFmtId="0" xfId="0" applyAlignment="1" applyFill="1" applyFont="1">
      <alignment horizontal="center" vertical="bottom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2" numFmtId="3" xfId="0" applyFont="1" applyNumberFormat="1"/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nowball-income.com/public/portfolios/UQqAIwzzQO" TargetMode="External"/><Relationship Id="rId2" Type="http://schemas.openxmlformats.org/officeDocument/2006/relationships/hyperlink" Target="https://smart-lab.ru/brokers-rating/russia/stat/" TargetMode="External"/><Relationship Id="rId3" Type="http://schemas.openxmlformats.org/officeDocument/2006/relationships/hyperlink" Target="https://snowball-income.com/" TargetMode="External"/><Relationship Id="rId4" Type="http://schemas.openxmlformats.org/officeDocument/2006/relationships/hyperlink" Target="https://finuslugi.ru/finansovyj_rejting_bankov" TargetMode="External"/><Relationship Id="rId5" Type="http://schemas.openxmlformats.org/officeDocument/2006/relationships/hyperlink" Target="https://www.markswebb.ru/report/digital-investment-rank-2024/" TargetMode="External"/><Relationship Id="rId6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63"/>
  </cols>
  <sheetData>
    <row r="1">
      <c r="A1" s="3" t="s">
        <v>5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14</v>
      </c>
      <c r="N1" s="12"/>
    </row>
    <row r="2">
      <c r="A2" s="13" t="s">
        <v>15</v>
      </c>
      <c r="B2" s="14">
        <v>3166.51</v>
      </c>
      <c r="C2" s="15">
        <v>5320.07</v>
      </c>
      <c r="D2" s="15">
        <v>3039.83</v>
      </c>
      <c r="E2" s="15">
        <v>3039.83</v>
      </c>
      <c r="F2" s="15">
        <v>2913.15</v>
      </c>
      <c r="G2" s="17"/>
      <c r="H2" s="18">
        <v>3926.59</v>
      </c>
      <c r="I2" s="18">
        <v>760.08</v>
      </c>
      <c r="J2" s="18">
        <v>633.4</v>
      </c>
      <c r="K2" s="18">
        <v>380.04</v>
      </c>
      <c r="L2" s="18">
        <v>3020.11</v>
      </c>
      <c r="M2" s="18">
        <v>3525.39</v>
      </c>
      <c r="N2" s="12"/>
    </row>
    <row r="3">
      <c r="A3" s="13" t="s">
        <v>16</v>
      </c>
      <c r="B3" s="19">
        <v>4852.84</v>
      </c>
      <c r="C3" s="21">
        <v>4553.8</v>
      </c>
      <c r="D3" s="21">
        <v>4274.34</v>
      </c>
      <c r="E3" s="15">
        <v>2928.08</v>
      </c>
      <c r="F3" s="21">
        <v>2590.7</v>
      </c>
      <c r="G3" s="22"/>
      <c r="H3" s="24">
        <v>1570.21</v>
      </c>
      <c r="I3" s="24">
        <v>0.0</v>
      </c>
      <c r="J3" s="24">
        <v>126.68</v>
      </c>
      <c r="K3" s="24">
        <v>0.0</v>
      </c>
      <c r="L3" s="24">
        <v>2139.41</v>
      </c>
      <c r="M3" s="24">
        <v>3192.7</v>
      </c>
      <c r="N3" s="12"/>
    </row>
    <row r="4">
      <c r="A4" s="13" t="s">
        <v>17</v>
      </c>
      <c r="B4" s="19">
        <v>8909.96</v>
      </c>
      <c r="C4" s="21">
        <v>10986.39</v>
      </c>
      <c r="D4" s="30">
        <v>29418.11</v>
      </c>
      <c r="E4" s="21">
        <v>8288.24</v>
      </c>
      <c r="F4" s="21">
        <v>9798.96</v>
      </c>
      <c r="G4" s="22"/>
      <c r="H4" s="24">
        <v>15241.24</v>
      </c>
      <c r="I4" s="24">
        <v>8579.9</v>
      </c>
      <c r="J4" s="24">
        <v>9076.11</v>
      </c>
      <c r="K4" s="24">
        <v>10376.94</v>
      </c>
      <c r="L4" s="24">
        <v>10851.69</v>
      </c>
      <c r="M4" s="24">
        <v>10695.47</v>
      </c>
      <c r="N4" s="34"/>
    </row>
    <row r="5">
      <c r="A5" s="13" t="s">
        <v>18</v>
      </c>
      <c r="B5" s="19">
        <v>803.6</v>
      </c>
      <c r="C5" s="21">
        <v>779.0</v>
      </c>
      <c r="D5" s="21">
        <v>833.18</v>
      </c>
      <c r="E5" s="22"/>
      <c r="F5" s="21">
        <v>1717.88</v>
      </c>
      <c r="G5" s="22"/>
      <c r="H5" s="24">
        <v>1720.88</v>
      </c>
      <c r="I5" s="24">
        <v>858.0</v>
      </c>
      <c r="J5" s="24">
        <v>858.45</v>
      </c>
      <c r="K5" s="38">
        <v>858.89</v>
      </c>
      <c r="L5" s="24">
        <v>858.0</v>
      </c>
      <c r="M5" s="24">
        <v>858.0</v>
      </c>
      <c r="N5" s="12"/>
    </row>
    <row r="6">
      <c r="A6" s="13" t="s">
        <v>19</v>
      </c>
      <c r="B6" s="39">
        <v>157.25</v>
      </c>
      <c r="C6" s="40">
        <v>155.07</v>
      </c>
      <c r="D6" s="40">
        <v>155.07</v>
      </c>
      <c r="E6" s="40">
        <v>155.07</v>
      </c>
      <c r="F6" s="40">
        <v>155.07</v>
      </c>
      <c r="G6" s="41"/>
      <c r="H6" s="42">
        <v>155.07</v>
      </c>
      <c r="I6" s="42">
        <v>325.4</v>
      </c>
      <c r="J6" s="42">
        <v>170.33</v>
      </c>
      <c r="K6" s="42">
        <v>170.33</v>
      </c>
      <c r="L6" s="42">
        <v>170.33</v>
      </c>
      <c r="M6" s="42">
        <v>170.33</v>
      </c>
      <c r="N6" s="12"/>
    </row>
    <row r="7">
      <c r="A7" s="13" t="s">
        <v>20</v>
      </c>
      <c r="B7" s="19">
        <v>1480.0</v>
      </c>
      <c r="C7" s="40">
        <v>500.0</v>
      </c>
      <c r="D7" s="40">
        <v>930.0</v>
      </c>
      <c r="E7" s="44">
        <v>3075.0</v>
      </c>
      <c r="F7" s="44">
        <v>2540.0</v>
      </c>
      <c r="G7" s="40">
        <v>774.0</v>
      </c>
      <c r="H7" s="42">
        <v>1317.0</v>
      </c>
      <c r="I7" s="42">
        <v>1168.0</v>
      </c>
      <c r="J7" s="42">
        <v>1434.0</v>
      </c>
      <c r="K7" s="42">
        <v>662.0</v>
      </c>
      <c r="L7" s="42">
        <v>1330.0</v>
      </c>
      <c r="M7" s="42">
        <v>960.0</v>
      </c>
      <c r="N7" s="12"/>
    </row>
    <row r="8">
      <c r="A8" s="13" t="s">
        <v>21</v>
      </c>
      <c r="B8" s="45"/>
      <c r="C8" s="41"/>
      <c r="D8" s="41"/>
      <c r="E8" s="41"/>
      <c r="F8" s="41"/>
      <c r="G8" s="41"/>
      <c r="H8" s="46"/>
      <c r="I8" s="46"/>
      <c r="J8" s="46"/>
      <c r="K8" s="46"/>
      <c r="L8" s="42">
        <v>7198.0</v>
      </c>
      <c r="M8" s="46"/>
      <c r="N8" s="12"/>
    </row>
    <row r="9">
      <c r="A9" s="13" t="s">
        <v>38</v>
      </c>
      <c r="B9" s="45"/>
      <c r="C9" s="24">
        <v>48612.78</v>
      </c>
      <c r="D9" s="47">
        <v>226979.56</v>
      </c>
      <c r="E9" s="48">
        <v>133723.0</v>
      </c>
      <c r="F9" s="48">
        <v>59869.99</v>
      </c>
      <c r="G9" s="48">
        <f>154529.85+1500</f>
        <v>156029.85</v>
      </c>
      <c r="H9" s="50">
        <v>27508.44</v>
      </c>
      <c r="I9" s="50">
        <v>6203.98</v>
      </c>
      <c r="J9" s="50">
        <v>47824.26</v>
      </c>
      <c r="K9" s="50">
        <v>175131.86</v>
      </c>
      <c r="L9" s="50">
        <v>25846.7</v>
      </c>
      <c r="M9" s="50">
        <v>8030.9</v>
      </c>
      <c r="N9" s="12"/>
    </row>
    <row r="10">
      <c r="A10" s="13" t="s">
        <v>25</v>
      </c>
      <c r="B10" s="45"/>
      <c r="C10" s="52"/>
      <c r="D10" s="52"/>
      <c r="E10" s="53"/>
      <c r="F10" s="50">
        <v>7043.0</v>
      </c>
      <c r="G10" s="34"/>
      <c r="H10" s="53"/>
      <c r="I10" s="53"/>
      <c r="J10" s="53"/>
      <c r="K10" s="53"/>
      <c r="L10" s="53"/>
      <c r="M10" s="53"/>
      <c r="N10" s="12"/>
    </row>
    <row r="11">
      <c r="A11" s="13" t="s">
        <v>26</v>
      </c>
      <c r="B11" s="45"/>
      <c r="C11" s="52"/>
      <c r="D11" s="52"/>
      <c r="E11" s="53"/>
      <c r="F11" s="50">
        <v>98909.0</v>
      </c>
      <c r="G11" s="48">
        <v>3699.0</v>
      </c>
      <c r="H11" s="50">
        <v>15868.58</v>
      </c>
      <c r="I11" s="50">
        <v>10325.48</v>
      </c>
      <c r="J11" s="50">
        <v>6500.0</v>
      </c>
      <c r="K11" s="50">
        <v>4500.0</v>
      </c>
      <c r="L11" s="50">
        <v>14723.0</v>
      </c>
      <c r="M11" s="53"/>
      <c r="N11" s="12"/>
    </row>
    <row r="12">
      <c r="A12" s="13" t="s">
        <v>27</v>
      </c>
      <c r="B12" s="45"/>
      <c r="C12" s="52"/>
      <c r="D12" s="52"/>
      <c r="E12" s="50">
        <v>22274.49</v>
      </c>
      <c r="F12" s="50">
        <v>35941.09</v>
      </c>
      <c r="G12" s="50">
        <v>17164.62</v>
      </c>
      <c r="H12" s="50">
        <v>6399.44</v>
      </c>
      <c r="I12" s="50">
        <v>12530.79</v>
      </c>
      <c r="J12" s="50">
        <v>20806.08</v>
      </c>
      <c r="K12" s="50">
        <v>28050.02</v>
      </c>
      <c r="L12" s="50">
        <v>17728.08</v>
      </c>
      <c r="M12" s="50">
        <v>17700.06</v>
      </c>
      <c r="N12" s="12"/>
    </row>
    <row r="13">
      <c r="A13" s="13" t="s">
        <v>29</v>
      </c>
      <c r="B13" s="45"/>
      <c r="C13" s="52"/>
      <c r="D13" s="52"/>
      <c r="E13" s="52"/>
      <c r="F13" s="48">
        <v>63670.0</v>
      </c>
      <c r="G13" s="48">
        <v>12948.0</v>
      </c>
      <c r="H13" s="50">
        <v>590.0</v>
      </c>
      <c r="I13" s="50">
        <v>227385.0</v>
      </c>
      <c r="J13" s="50">
        <v>160999.0</v>
      </c>
      <c r="K13" s="50">
        <v>5153.2</v>
      </c>
      <c r="L13" s="53"/>
      <c r="M13" s="50">
        <v>2000.0</v>
      </c>
      <c r="N13" s="12"/>
    </row>
    <row r="14">
      <c r="A14" s="13" t="s">
        <v>30</v>
      </c>
      <c r="B14" s="45"/>
      <c r="C14" s="52"/>
      <c r="D14" s="52"/>
      <c r="E14" s="48">
        <v>19277.0</v>
      </c>
      <c r="F14" s="48">
        <v>15001.0</v>
      </c>
      <c r="G14" s="39">
        <v>911.0</v>
      </c>
      <c r="H14" s="50">
        <v>4275.0</v>
      </c>
      <c r="I14" s="50">
        <v>369.0</v>
      </c>
      <c r="J14" s="50">
        <v>3016.0</v>
      </c>
      <c r="K14" s="50">
        <v>9416.0</v>
      </c>
      <c r="L14" s="53"/>
      <c r="M14" s="50">
        <v>4358.0</v>
      </c>
      <c r="N14" s="12"/>
    </row>
    <row r="15">
      <c r="A15" s="13" t="s">
        <v>31</v>
      </c>
      <c r="B15" s="45"/>
      <c r="C15" s="48">
        <v>7286.0</v>
      </c>
      <c r="D15" s="48">
        <v>4233.0</v>
      </c>
      <c r="E15" s="48">
        <v>3495.0</v>
      </c>
      <c r="F15" s="48">
        <v>2420.0</v>
      </c>
      <c r="G15" s="39">
        <v>860.0</v>
      </c>
      <c r="H15" s="50">
        <v>5246.0</v>
      </c>
      <c r="I15" s="50">
        <v>6770.0</v>
      </c>
      <c r="J15" s="50">
        <v>5233.0</v>
      </c>
      <c r="K15" s="50">
        <v>3142.0</v>
      </c>
      <c r="L15" s="50">
        <v>6657.0</v>
      </c>
      <c r="M15" s="50">
        <v>6904.0</v>
      </c>
      <c r="N15" s="12"/>
    </row>
    <row r="16">
      <c r="A16" s="13" t="s">
        <v>32</v>
      </c>
      <c r="B16" s="45"/>
      <c r="C16" s="39">
        <v>7500.0</v>
      </c>
      <c r="D16" s="34"/>
      <c r="E16" s="39">
        <v>2500.0</v>
      </c>
      <c r="F16" s="34"/>
      <c r="G16" s="34"/>
      <c r="H16" s="50">
        <v>539.0</v>
      </c>
      <c r="I16" s="53"/>
      <c r="J16" s="53"/>
      <c r="K16" s="53"/>
      <c r="L16" s="53"/>
      <c r="M16" s="53"/>
      <c r="N16" s="12"/>
    </row>
    <row r="17">
      <c r="A17" s="13" t="s">
        <v>33</v>
      </c>
      <c r="B17" s="45"/>
      <c r="C17" s="50">
        <v>18339.3</v>
      </c>
      <c r="D17" s="48">
        <v>12034.1</v>
      </c>
      <c r="E17" s="50">
        <v>16778.0</v>
      </c>
      <c r="F17" s="50">
        <v>6317.8</v>
      </c>
      <c r="G17" s="50">
        <v>1547.6</v>
      </c>
      <c r="H17" s="50">
        <v>1592.0</v>
      </c>
      <c r="I17" s="50">
        <v>2967.45</v>
      </c>
      <c r="J17" s="50">
        <v>3086.0</v>
      </c>
      <c r="K17" s="50">
        <v>1761.0</v>
      </c>
      <c r="L17" s="50">
        <v>5024.3</v>
      </c>
      <c r="M17" s="50">
        <v>42607.1</v>
      </c>
      <c r="N17" s="12"/>
    </row>
    <row r="18">
      <c r="A18" s="13" t="s">
        <v>34</v>
      </c>
      <c r="B18" s="45"/>
      <c r="C18" s="34"/>
      <c r="D18" s="34"/>
      <c r="E18" s="34"/>
      <c r="F18" s="34"/>
      <c r="G18" s="34"/>
      <c r="H18" s="53"/>
      <c r="I18" s="53"/>
      <c r="J18" s="53"/>
      <c r="K18" s="50">
        <v>2295.0</v>
      </c>
      <c r="L18" s="53"/>
      <c r="M18" s="53"/>
      <c r="N18" s="12"/>
    </row>
    <row r="19">
      <c r="A19" s="13" t="s">
        <v>35</v>
      </c>
      <c r="B19" s="45"/>
      <c r="C19" s="39">
        <v>6229.0</v>
      </c>
      <c r="D19" s="48">
        <v>3270.0</v>
      </c>
      <c r="E19" s="48">
        <v>18005.0</v>
      </c>
      <c r="F19" s="48">
        <v>29142.0</v>
      </c>
      <c r="G19" s="48">
        <v>1689.0</v>
      </c>
      <c r="H19" s="50">
        <v>21750.0</v>
      </c>
      <c r="I19" s="53"/>
      <c r="J19" s="53"/>
      <c r="K19" s="53"/>
      <c r="L19" s="50">
        <v>21060.0</v>
      </c>
      <c r="M19" s="53"/>
      <c r="N19" s="12"/>
    </row>
    <row r="20">
      <c r="A20" s="13" t="s">
        <v>36</v>
      </c>
      <c r="B20" s="45"/>
      <c r="C20" s="39">
        <v>3943.4</v>
      </c>
      <c r="D20" s="50">
        <v>14502.75</v>
      </c>
      <c r="E20" s="50">
        <v>10633.15</v>
      </c>
      <c r="F20" s="50">
        <v>18278.74</v>
      </c>
      <c r="G20" s="50">
        <v>10038.13</v>
      </c>
      <c r="H20" s="50">
        <v>161756.05</v>
      </c>
      <c r="I20" s="50">
        <v>12254.3</v>
      </c>
      <c r="J20" s="50">
        <v>7830.43</v>
      </c>
      <c r="K20" s="50">
        <v>32415.97</v>
      </c>
      <c r="L20" s="50">
        <v>14138.82</v>
      </c>
      <c r="M20" s="50">
        <v>820.0</v>
      </c>
      <c r="N20" s="12"/>
    </row>
    <row r="21">
      <c r="A21" s="13" t="s">
        <v>44</v>
      </c>
      <c r="B21" s="45"/>
      <c r="C21" s="39">
        <v>6500.0</v>
      </c>
      <c r="D21" s="34"/>
      <c r="E21" s="48">
        <v>7440.0</v>
      </c>
      <c r="F21" s="48">
        <v>2750.0</v>
      </c>
      <c r="G21" s="34"/>
      <c r="H21" s="50">
        <v>2000.0</v>
      </c>
      <c r="I21" s="50">
        <v>3000.0</v>
      </c>
      <c r="J21" s="50">
        <v>2000.0</v>
      </c>
      <c r="K21" s="50">
        <v>1250.0</v>
      </c>
      <c r="L21" s="50">
        <v>9400.0</v>
      </c>
      <c r="M21" s="53"/>
      <c r="N21" s="12"/>
    </row>
    <row r="22">
      <c r="A22" s="13" t="s">
        <v>39</v>
      </c>
      <c r="B22" s="62">
        <f t="shared" ref="B22:M22" si="1">SUM(B2:B21,B39,B37,B38)</f>
        <v>70449.4</v>
      </c>
      <c r="C22" s="63">
        <f t="shared" si="1"/>
        <v>171784.05</v>
      </c>
      <c r="D22" s="64">
        <f t="shared" si="1"/>
        <v>350749.18</v>
      </c>
      <c r="E22" s="64">
        <f t="shared" si="1"/>
        <v>302691.1</v>
      </c>
      <c r="F22" s="64">
        <f t="shared" si="1"/>
        <v>410137.62</v>
      </c>
      <c r="G22" s="64">
        <f t="shared" si="1"/>
        <v>256740.44</v>
      </c>
      <c r="H22" s="67">
        <f t="shared" si="1"/>
        <v>322534.74</v>
      </c>
      <c r="I22" s="67">
        <f t="shared" si="1"/>
        <v>344576.62</v>
      </c>
      <c r="J22" s="69">
        <f t="shared" si="1"/>
        <v>320672.98</v>
      </c>
      <c r="K22" s="69">
        <f t="shared" si="1"/>
        <v>326642.49</v>
      </c>
      <c r="L22" s="69">
        <f t="shared" si="1"/>
        <v>245113.6</v>
      </c>
      <c r="M22" s="69">
        <f t="shared" si="1"/>
        <v>151944.39</v>
      </c>
      <c r="N22" s="12"/>
    </row>
    <row r="23">
      <c r="A23" s="72" t="s">
        <v>42</v>
      </c>
      <c r="B23" s="21">
        <f>SUM(B22:M22)</f>
        <v>3274036.61</v>
      </c>
      <c r="C23" s="12"/>
      <c r="D23" s="12" t="s">
        <v>56</v>
      </c>
      <c r="E23" s="12" t="s">
        <v>56</v>
      </c>
      <c r="F23" s="12" t="s">
        <v>57</v>
      </c>
      <c r="G23" s="12" t="s">
        <v>56</v>
      </c>
      <c r="H23" s="12" t="s">
        <v>58</v>
      </c>
      <c r="I23" s="12" t="s">
        <v>59</v>
      </c>
      <c r="J23" s="12" t="s">
        <v>59</v>
      </c>
      <c r="K23" s="12"/>
      <c r="L23" s="12"/>
      <c r="M23" s="12"/>
      <c r="N23" s="12"/>
    </row>
    <row r="24">
      <c r="A24" s="73" t="s">
        <v>43</v>
      </c>
      <c r="B24" s="74" t="s">
        <v>45</v>
      </c>
      <c r="C24" s="75" t="s">
        <v>46</v>
      </c>
      <c r="D24" s="76" t="s">
        <v>47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>
      <c r="A25" s="77" t="s">
        <v>60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>
      <c r="A26" s="13" t="s">
        <v>49</v>
      </c>
      <c r="B26" s="19">
        <v>99793.88</v>
      </c>
      <c r="C26" s="21">
        <v>460474.83</v>
      </c>
      <c r="D26" s="78">
        <v>322835.0</v>
      </c>
      <c r="E26" s="24">
        <v>547978.71</v>
      </c>
      <c r="F26" s="24">
        <v>472760.24</v>
      </c>
      <c r="G26" s="78">
        <v>194825.85</v>
      </c>
      <c r="H26" s="24">
        <v>327100.37</v>
      </c>
      <c r="I26" s="24">
        <v>347632.26</v>
      </c>
      <c r="J26" s="24">
        <v>339978.28</v>
      </c>
      <c r="K26" s="24">
        <v>362565.84</v>
      </c>
      <c r="L26" s="24">
        <v>383043.43</v>
      </c>
      <c r="M26" s="24">
        <v>537048.52</v>
      </c>
      <c r="N26" s="12"/>
    </row>
    <row r="27">
      <c r="A27" s="13" t="s">
        <v>50</v>
      </c>
      <c r="B27" s="45"/>
      <c r="C27" s="21">
        <v>46000.0</v>
      </c>
      <c r="D27" s="21">
        <v>46000.0</v>
      </c>
      <c r="E27" s="21">
        <v>46000.0</v>
      </c>
      <c r="F27" s="21">
        <v>46000.0</v>
      </c>
      <c r="G27" s="21">
        <v>46000.0</v>
      </c>
      <c r="H27" s="24">
        <v>46000.0</v>
      </c>
      <c r="I27" s="24">
        <v>46000.0</v>
      </c>
      <c r="J27" s="24">
        <v>46000.0</v>
      </c>
      <c r="K27" s="24">
        <v>46000.0</v>
      </c>
      <c r="L27" s="24">
        <v>46000.0</v>
      </c>
      <c r="M27" s="24">
        <v>46000.0</v>
      </c>
      <c r="N27" s="12"/>
    </row>
    <row r="28">
      <c r="A28" s="13" t="s">
        <v>51</v>
      </c>
      <c r="B28" s="19">
        <v>7310.0</v>
      </c>
      <c r="C28" s="38">
        <v>8000.0</v>
      </c>
      <c r="D28" s="21">
        <v>7608.56</v>
      </c>
      <c r="E28" s="21">
        <v>6020.0</v>
      </c>
      <c r="F28" s="21">
        <v>6934.0</v>
      </c>
      <c r="G28" s="21">
        <v>6764.15</v>
      </c>
      <c r="H28" s="24">
        <v>3751.0</v>
      </c>
      <c r="I28" s="24">
        <v>5100.0</v>
      </c>
      <c r="J28" s="24">
        <v>5400.0</v>
      </c>
      <c r="K28" s="24">
        <v>4900.0</v>
      </c>
      <c r="L28" s="24">
        <v>7200.0</v>
      </c>
      <c r="M28" s="24">
        <v>8900.0</v>
      </c>
      <c r="N28" s="12"/>
    </row>
    <row r="29">
      <c r="A29" s="79" t="s">
        <v>53</v>
      </c>
      <c r="B29" s="34"/>
      <c r="C29" s="22"/>
      <c r="D29" s="41"/>
      <c r="E29" s="41"/>
      <c r="F29" s="41"/>
      <c r="G29" s="41"/>
      <c r="H29" s="42">
        <v>13000.0</v>
      </c>
      <c r="I29" s="42">
        <v>3000.0</v>
      </c>
      <c r="J29" s="42">
        <v>169768.36</v>
      </c>
      <c r="K29" s="42">
        <v>239637.43</v>
      </c>
      <c r="L29" s="42">
        <v>248994.0</v>
      </c>
      <c r="M29" s="42">
        <v>111641.44</v>
      </c>
      <c r="N29" s="12"/>
    </row>
    <row r="30">
      <c r="A30" s="79" t="s">
        <v>54</v>
      </c>
      <c r="B30" s="39">
        <v>26343.35</v>
      </c>
      <c r="C30" s="40">
        <v>17558.15</v>
      </c>
      <c r="D30" s="40">
        <v>25337.72</v>
      </c>
      <c r="E30" s="40">
        <v>20421.66</v>
      </c>
      <c r="F30" s="40">
        <v>20105.45</v>
      </c>
      <c r="G30" s="40">
        <v>19815.53</v>
      </c>
      <c r="H30" s="42">
        <v>21118.04</v>
      </c>
      <c r="I30" s="42">
        <v>122198.38</v>
      </c>
      <c r="J30" s="42">
        <v>23026.88</v>
      </c>
      <c r="K30" s="42">
        <v>18323.38</v>
      </c>
      <c r="L30" s="42">
        <v>17111.0</v>
      </c>
      <c r="M30" s="42">
        <v>21681.7</v>
      </c>
      <c r="N30" s="12"/>
    </row>
    <row r="31">
      <c r="A31" s="13" t="s">
        <v>55</v>
      </c>
      <c r="B31" s="19">
        <v>3798.0</v>
      </c>
      <c r="C31" s="21">
        <v>3150.0</v>
      </c>
      <c r="D31" s="21">
        <v>900.0</v>
      </c>
      <c r="E31" s="21">
        <v>15618.0</v>
      </c>
      <c r="F31" s="21">
        <v>967.0</v>
      </c>
      <c r="G31" s="21">
        <v>4158.0</v>
      </c>
      <c r="H31" s="24">
        <v>970.0</v>
      </c>
      <c r="I31" s="24">
        <v>2278.0</v>
      </c>
      <c r="J31" s="24">
        <v>1790.0</v>
      </c>
      <c r="K31" s="24">
        <v>1610.5</v>
      </c>
      <c r="L31" s="24">
        <v>1732.5</v>
      </c>
      <c r="M31" s="24">
        <v>1994.0</v>
      </c>
      <c r="N31" s="12"/>
    </row>
    <row r="32">
      <c r="A32" s="81" t="s">
        <v>41</v>
      </c>
      <c r="B32" s="14">
        <f t="shared" ref="B32:M32" si="2">SUM(B26:B31)</f>
        <v>137245.23</v>
      </c>
      <c r="C32" s="14">
        <f t="shared" si="2"/>
        <v>535182.98</v>
      </c>
      <c r="D32" s="82">
        <f t="shared" si="2"/>
        <v>402681.28</v>
      </c>
      <c r="E32" s="83">
        <f t="shared" si="2"/>
        <v>636038.37</v>
      </c>
      <c r="F32" s="83">
        <f t="shared" si="2"/>
        <v>546766.69</v>
      </c>
      <c r="G32" s="82">
        <f t="shared" si="2"/>
        <v>271563.53</v>
      </c>
      <c r="H32" s="83">
        <f t="shared" si="2"/>
        <v>411939.41</v>
      </c>
      <c r="I32" s="83">
        <f t="shared" si="2"/>
        <v>526208.64</v>
      </c>
      <c r="J32" s="83">
        <f t="shared" si="2"/>
        <v>585963.52</v>
      </c>
      <c r="K32" s="83">
        <f t="shared" si="2"/>
        <v>673037.15</v>
      </c>
      <c r="L32" s="83">
        <f t="shared" si="2"/>
        <v>704080.93</v>
      </c>
      <c r="M32" s="83">
        <f t="shared" si="2"/>
        <v>727265.66</v>
      </c>
      <c r="N32" s="12"/>
    </row>
    <row r="33">
      <c r="A33" s="13" t="s">
        <v>61</v>
      </c>
      <c r="B33" s="19">
        <f>SUM(B32:M32)</f>
        <v>6157973.39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>
      <c r="A34" s="77" t="s">
        <v>62</v>
      </c>
      <c r="B34" s="38">
        <f t="shared" ref="B34:M34" si="3">B32-B22</f>
        <v>66795.83</v>
      </c>
      <c r="C34" s="38">
        <f t="shared" si="3"/>
        <v>363398.93</v>
      </c>
      <c r="D34" s="85">
        <f t="shared" si="3"/>
        <v>51932.1</v>
      </c>
      <c r="E34" s="86">
        <f t="shared" si="3"/>
        <v>333347.27</v>
      </c>
      <c r="F34" s="86">
        <f t="shared" si="3"/>
        <v>136629.07</v>
      </c>
      <c r="G34" s="85">
        <f t="shared" si="3"/>
        <v>14823.09</v>
      </c>
      <c r="H34" s="86">
        <f t="shared" si="3"/>
        <v>89404.67</v>
      </c>
      <c r="I34" s="86">
        <f t="shared" si="3"/>
        <v>181632.02</v>
      </c>
      <c r="J34" s="86">
        <f t="shared" si="3"/>
        <v>265290.54</v>
      </c>
      <c r="K34" s="86">
        <f t="shared" si="3"/>
        <v>346394.66</v>
      </c>
      <c r="L34" s="86">
        <f t="shared" si="3"/>
        <v>458967.33</v>
      </c>
      <c r="M34" s="86">
        <f t="shared" si="3"/>
        <v>575321.27</v>
      </c>
      <c r="N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>
      <c r="A36" s="77" t="s">
        <v>63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>
      <c r="A37" s="13" t="s">
        <v>64</v>
      </c>
      <c r="B37" s="45"/>
      <c r="C37" s="22"/>
      <c r="D37" s="22"/>
      <c r="E37" s="22"/>
      <c r="F37" s="22"/>
      <c r="G37" s="22"/>
      <c r="H37" s="22"/>
      <c r="I37" s="22"/>
      <c r="J37" s="22"/>
      <c r="K37" s="22"/>
      <c r="L37" s="21">
        <v>4508.0</v>
      </c>
      <c r="M37" s="22"/>
      <c r="N37" s="12"/>
    </row>
    <row r="38">
      <c r="A38" s="13" t="s">
        <v>65</v>
      </c>
      <c r="B38" s="45"/>
      <c r="C38" s="22"/>
      <c r="D38" s="22"/>
      <c r="E38" s="22"/>
      <c r="F38" s="22"/>
      <c r="G38" s="22"/>
      <c r="H38" s="22"/>
      <c r="I38" s="22"/>
      <c r="J38" s="22"/>
      <c r="K38" s="22"/>
      <c r="L38" s="24">
        <v>49380.92</v>
      </c>
      <c r="M38" s="22"/>
      <c r="N38" s="12"/>
    </row>
    <row r="39">
      <c r="A39" s="13" t="s">
        <v>66</v>
      </c>
      <c r="B39" s="19">
        <v>51079.24</v>
      </c>
      <c r="C39" s="19">
        <v>51079.24</v>
      </c>
      <c r="D39" s="19">
        <v>51079.24</v>
      </c>
      <c r="E39" s="19">
        <v>51079.24</v>
      </c>
      <c r="F39" s="19">
        <v>51079.24</v>
      </c>
      <c r="G39" s="19">
        <v>51079.24</v>
      </c>
      <c r="H39" s="19">
        <v>51079.24</v>
      </c>
      <c r="I39" s="19">
        <v>51079.24</v>
      </c>
      <c r="J39" s="19">
        <v>51079.24</v>
      </c>
      <c r="K39" s="19">
        <v>51079.24</v>
      </c>
      <c r="L39" s="19">
        <v>51079.24</v>
      </c>
      <c r="M39" s="21">
        <v>50122.44</v>
      </c>
      <c r="N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>
      <c r="A41" s="12" t="s">
        <v>67</v>
      </c>
      <c r="B41" s="38">
        <f>MINUS(B33,B23)</f>
        <v>2883936.78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>
      <c r="A44" s="22" t="s">
        <v>68</v>
      </c>
      <c r="B44" s="22" t="s">
        <v>69</v>
      </c>
      <c r="C44" s="22" t="s">
        <v>70</v>
      </c>
      <c r="D44" s="22" t="s">
        <v>71</v>
      </c>
      <c r="E44" s="22"/>
      <c r="F44" s="22"/>
      <c r="G44" s="12"/>
      <c r="H44" s="12"/>
      <c r="I44" s="12"/>
      <c r="J44" s="12"/>
      <c r="K44" s="12"/>
      <c r="L44" s="12"/>
      <c r="M44" s="12"/>
      <c r="N44" s="12"/>
    </row>
    <row r="45">
      <c r="A45" s="22" t="s">
        <v>73</v>
      </c>
      <c r="B45" s="21">
        <v>1500.0</v>
      </c>
      <c r="C45" s="21">
        <v>1480.0</v>
      </c>
      <c r="D45" s="22" t="s">
        <v>74</v>
      </c>
      <c r="E45" s="22"/>
      <c r="F45" s="22"/>
      <c r="G45" s="12"/>
      <c r="H45" s="12"/>
      <c r="I45" s="12"/>
      <c r="J45" s="12"/>
      <c r="K45" s="12"/>
      <c r="L45" s="12"/>
      <c r="M45" s="12"/>
      <c r="N45" s="12"/>
    </row>
    <row r="46">
      <c r="A46" s="22" t="s">
        <v>75</v>
      </c>
      <c r="B46" s="21">
        <v>92.2</v>
      </c>
      <c r="C46" s="21">
        <v>94.6</v>
      </c>
      <c r="D46" s="24">
        <v>6980.5</v>
      </c>
      <c r="E46" s="22"/>
      <c r="F46" s="22"/>
      <c r="G46" s="12"/>
      <c r="H46" s="12"/>
      <c r="I46" s="12"/>
      <c r="J46" s="12"/>
      <c r="K46" s="12"/>
      <c r="L46" s="12"/>
      <c r="M46" s="12"/>
      <c r="N46" s="12"/>
    </row>
    <row r="47">
      <c r="A47" s="22" t="s">
        <v>76</v>
      </c>
      <c r="B47" s="21">
        <f t="shared" ref="B47:C47" si="4">MULTIPLY(B45,B46)</f>
        <v>138300</v>
      </c>
      <c r="C47" s="21">
        <f t="shared" si="4"/>
        <v>140008</v>
      </c>
      <c r="D47" s="93"/>
      <c r="E47" s="93"/>
      <c r="F47" s="22"/>
      <c r="G47" s="12"/>
      <c r="H47" s="12"/>
      <c r="I47" s="12"/>
      <c r="J47" s="12"/>
      <c r="K47" s="12"/>
      <c r="L47" s="12"/>
      <c r="M47" s="12"/>
      <c r="N47" s="12"/>
    </row>
    <row r="48">
      <c r="A48" s="22" t="s">
        <v>77</v>
      </c>
      <c r="B48" s="22"/>
      <c r="C48" s="22"/>
      <c r="D48" s="21">
        <v>139610.0</v>
      </c>
      <c r="E48" s="22"/>
      <c r="F48" s="22"/>
      <c r="G48" s="12"/>
      <c r="H48" s="12"/>
      <c r="I48" s="12"/>
      <c r="J48" s="12"/>
      <c r="K48" s="12"/>
      <c r="L48" s="12"/>
      <c r="M48" s="12"/>
      <c r="N48" s="12"/>
    </row>
    <row r="49">
      <c r="A49" s="22" t="s">
        <v>78</v>
      </c>
      <c r="B49" s="94">
        <f>IFERROR(__xludf.DUMMYFUNCTION(" GoogleFinance(""Currency:USDRUB"")"),80.67467)</f>
        <v>80.67467</v>
      </c>
      <c r="C49" s="94">
        <f>IFERROR(__xludf.DUMMYFUNCTION(" GoogleFinance(""Currency:USDRUB"")"),80.67467)</f>
        <v>80.67467</v>
      </c>
      <c r="D49" s="95"/>
      <c r="E49" s="22"/>
      <c r="F49" s="22"/>
      <c r="G49" s="12"/>
      <c r="H49" s="12"/>
      <c r="I49" s="12"/>
      <c r="J49" s="12"/>
      <c r="K49" s="12"/>
      <c r="L49" s="12"/>
      <c r="M49" s="12"/>
      <c r="N49" s="12"/>
    </row>
    <row r="50">
      <c r="A50" s="41" t="s">
        <v>79</v>
      </c>
      <c r="B50" s="38">
        <f>IFERROR(__xludf.DUMMYFUNCTION("IMPORTXML(""https://www.cbr.ru/scripts/XML_daily.asp?date_req=""&amp;TO_TEXT(TODAY()),""//ValCurs/Valute[NumCode=""""840""""]/Value"")"),80.6761)</f>
        <v>80.6761</v>
      </c>
      <c r="C50" s="38">
        <f>IFERROR(__xludf.DUMMYFUNCTION("IMPORTXML(""https://www.cbr.ru/scripts/XML_daily.asp?date_req=""&amp;TO_TEXT(TODAY()),""//ValCurs/Valute[NumCode=""""840""""]/Value"")"),80.6761)</f>
        <v>80.6761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>
      <c r="A51" s="13" t="s">
        <v>80</v>
      </c>
      <c r="B51" s="102">
        <f t="shared" ref="B51:C51" si="5">(B50*B45)-B47</f>
        <v>-17285.85</v>
      </c>
      <c r="C51" s="102">
        <f t="shared" si="5"/>
        <v>-20607.372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>
      <c r="A52" s="13" t="s">
        <v>81</v>
      </c>
      <c r="B52" s="107">
        <f t="shared" ref="B52:C52" si="6">(B49*B45)-B47</f>
        <v>-17287.995</v>
      </c>
      <c r="C52" s="107">
        <f t="shared" si="6"/>
        <v>-20609.4884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>
      <c r="A53" s="17"/>
      <c r="B53" s="17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>
      <c r="A55" s="13" t="s">
        <v>95</v>
      </c>
      <c r="B55" s="107">
        <f>SUM(B47,B64,C47,D48)</f>
        <v>438038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>
      <c r="A56" s="12"/>
      <c r="B56" s="12" t="s">
        <v>111</v>
      </c>
      <c r="C56" s="12"/>
      <c r="D56" s="110"/>
      <c r="E56" s="110"/>
      <c r="F56" s="12"/>
      <c r="G56" s="12"/>
      <c r="H56" s="12"/>
      <c r="I56" s="12"/>
      <c r="J56" s="12"/>
      <c r="K56" s="12"/>
      <c r="L56" s="12"/>
      <c r="M56" s="12"/>
      <c r="N56" s="12"/>
    </row>
    <row r="57">
      <c r="A57" s="12" t="s">
        <v>88</v>
      </c>
      <c r="B57" s="38">
        <v>2040000.0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>
      <c r="A58" s="12" t="s">
        <v>89</v>
      </c>
      <c r="B58" s="38">
        <v>5125794.32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>
      <c r="A59" s="12" t="s">
        <v>91</v>
      </c>
      <c r="B59" s="38">
        <v>500000.0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>
      <c r="A61" s="111" t="s">
        <v>84</v>
      </c>
      <c r="B61" s="10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>
      <c r="A62" s="22" t="s">
        <v>73</v>
      </c>
      <c r="B62" s="21">
        <v>2980.0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>
      <c r="A63" s="22" t="s">
        <v>85</v>
      </c>
      <c r="B63" s="22" t="s">
        <v>86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  <row r="64">
      <c r="A64" s="22" t="s">
        <v>87</v>
      </c>
      <c r="B64" s="21">
        <v>20120.0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>
      <c r="A66" s="12"/>
      <c r="B66" s="108" t="s">
        <v>96</v>
      </c>
      <c r="C66" s="108" t="s">
        <v>97</v>
      </c>
      <c r="D66" s="108" t="s">
        <v>98</v>
      </c>
      <c r="E66" s="108" t="s">
        <v>99</v>
      </c>
      <c r="F66" s="108" t="s">
        <v>100</v>
      </c>
      <c r="G66" s="12" t="s">
        <v>101</v>
      </c>
      <c r="H66" s="108" t="s">
        <v>102</v>
      </c>
      <c r="I66" s="12" t="s">
        <v>103</v>
      </c>
      <c r="J66" s="12" t="s">
        <v>104</v>
      </c>
      <c r="K66" s="12"/>
      <c r="L66" s="12"/>
      <c r="M66" s="12"/>
      <c r="N66" s="12"/>
    </row>
    <row r="67">
      <c r="A67" s="13" t="s">
        <v>112</v>
      </c>
      <c r="B67" s="108">
        <f>23120+2980*92.5058+20*6872.79</f>
        <v>436243.084</v>
      </c>
      <c r="C67" s="112">
        <f>23120+2980*90.9239+20*6891.61</f>
        <v>431905.422</v>
      </c>
      <c r="D67" s="112">
        <f>23120+90.1887*2980+20*7038.28</f>
        <v>432647.926</v>
      </c>
      <c r="E67" s="112">
        <f>23120+88.6852*2980+20*6661.07
</f>
        <v>420623.296</v>
      </c>
      <c r="F67" s="112">
        <f>23120+88.7436*2980+6677.83*20</f>
        <v>421132.528</v>
      </c>
      <c r="G67" s="112">
        <f>23120+88.2824*2980+20*6919.31</f>
        <v>424587.752</v>
      </c>
      <c r="H67" s="112">
        <f>23120+88.9062*2980+20*6993.5</f>
        <v>427930.476</v>
      </c>
      <c r="I67" s="38">
        <f>23120+96.4172*2980+20*8335.12</f>
        <v>477145.656</v>
      </c>
      <c r="J67" s="38">
        <f>19120+107.7409*2980+20*9151.23</f>
        <v>523212.482</v>
      </c>
      <c r="K67" s="12"/>
      <c r="L67" s="12"/>
      <c r="M67" s="12"/>
      <c r="N67" s="12"/>
    </row>
    <row r="68">
      <c r="A68" s="12"/>
      <c r="B68" s="108">
        <f>B67-B55</f>
        <v>-1794.916</v>
      </c>
      <c r="C68" s="108">
        <f>C67-B55</f>
        <v>-6132.578</v>
      </c>
      <c r="D68" s="108">
        <f>D67-B55</f>
        <v>-5390.074</v>
      </c>
      <c r="E68" s="108">
        <f>E67-B55</f>
        <v>-17414.704</v>
      </c>
      <c r="F68" s="108">
        <f>F67-B55</f>
        <v>-16905.472</v>
      </c>
      <c r="G68" s="108">
        <f>G67-B55</f>
        <v>-13450.248</v>
      </c>
      <c r="H68" s="108">
        <f>H67-B55</f>
        <v>-10107.524</v>
      </c>
      <c r="I68" s="38">
        <f>I67-B55</f>
        <v>39107.656</v>
      </c>
      <c r="J68" s="38">
        <f>J67-B55</f>
        <v>85174.482</v>
      </c>
      <c r="K68" s="12"/>
      <c r="L68" s="12"/>
      <c r="M68" s="12"/>
      <c r="N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</row>
  </sheetData>
  <mergeCells count="1">
    <mergeCell ref="A61:B6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38"/>
    <col customWidth="1" min="2" max="2" width="14.63"/>
    <col customWidth="1" min="3" max="3" width="16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14</v>
      </c>
    </row>
    <row r="2">
      <c r="A2" s="4" t="s">
        <v>15</v>
      </c>
      <c r="B2" s="5">
        <v>3799.91</v>
      </c>
      <c r="C2" s="6">
        <v>2786.47</v>
      </c>
      <c r="D2" s="6">
        <v>3414.8</v>
      </c>
      <c r="E2" s="6">
        <v>2918.22</v>
      </c>
      <c r="F2" s="6">
        <v>3419.87</v>
      </c>
      <c r="G2" s="6">
        <v>3398.71</v>
      </c>
      <c r="H2" s="7">
        <v>781.24</v>
      </c>
      <c r="I2" s="7">
        <v>1309.95</v>
      </c>
      <c r="J2" s="7">
        <v>1309.95</v>
      </c>
      <c r="K2" s="7">
        <v>1455.5</v>
      </c>
      <c r="L2" s="7">
        <v>3055.84</v>
      </c>
      <c r="M2" s="7">
        <v>7199.95</v>
      </c>
    </row>
    <row r="3">
      <c r="A3" s="4" t="s">
        <v>16</v>
      </c>
      <c r="B3" s="9">
        <v>3786.07</v>
      </c>
      <c r="C3" s="10">
        <v>3024.18</v>
      </c>
      <c r="D3" s="10">
        <v>3724.25</v>
      </c>
      <c r="E3" s="6">
        <v>2446.38</v>
      </c>
      <c r="F3" s="10">
        <v>2775.55</v>
      </c>
      <c r="G3" s="10">
        <v>1537.27</v>
      </c>
      <c r="H3" s="11">
        <v>0.0</v>
      </c>
      <c r="I3" s="11">
        <v>40.3</v>
      </c>
      <c r="J3" s="11">
        <v>145.55</v>
      </c>
      <c r="K3" s="11">
        <v>145.55</v>
      </c>
      <c r="L3" s="11">
        <v>1964.33</v>
      </c>
      <c r="M3" s="11">
        <v>6052.98</v>
      </c>
    </row>
    <row r="4">
      <c r="A4" s="4" t="s">
        <v>17</v>
      </c>
      <c r="B4" s="9">
        <v>9902.37</v>
      </c>
      <c r="C4" s="10">
        <v>9026.57</v>
      </c>
      <c r="D4" s="10">
        <v>10532.72</v>
      </c>
      <c r="E4" s="10">
        <v>8865.57</v>
      </c>
      <c r="F4" s="10">
        <v>9260.55</v>
      </c>
      <c r="G4" s="10">
        <v>10069.98</v>
      </c>
      <c r="H4" s="11">
        <v>7602.46</v>
      </c>
      <c r="I4" s="11">
        <v>10363.14</v>
      </c>
      <c r="J4" s="11">
        <v>12214.87</v>
      </c>
      <c r="K4" s="11">
        <v>8775.6</v>
      </c>
      <c r="L4" s="11">
        <v>9343.35</v>
      </c>
      <c r="M4" s="11">
        <v>11428.77</v>
      </c>
      <c r="N4" s="16"/>
    </row>
    <row r="5">
      <c r="A5" s="4" t="s">
        <v>18</v>
      </c>
      <c r="B5" s="9">
        <v>858.0</v>
      </c>
      <c r="C5" s="10">
        <v>858.0</v>
      </c>
      <c r="D5" s="10">
        <v>862.3</v>
      </c>
      <c r="E5" s="10">
        <v>868.75</v>
      </c>
      <c r="F5" s="10">
        <v>894.0</v>
      </c>
      <c r="G5" s="10">
        <v>894.0</v>
      </c>
      <c r="H5" s="11">
        <v>894.0</v>
      </c>
      <c r="I5" s="11">
        <v>894.0</v>
      </c>
      <c r="J5" s="11">
        <v>894.0</v>
      </c>
      <c r="K5" s="11">
        <v>894.0</v>
      </c>
      <c r="L5" s="11">
        <v>894.0</v>
      </c>
      <c r="M5" s="11">
        <v>895.0</v>
      </c>
    </row>
    <row r="6">
      <c r="A6" s="4" t="s">
        <v>19</v>
      </c>
      <c r="B6" s="16">
        <v>170.33</v>
      </c>
      <c r="C6" s="16">
        <v>170.33</v>
      </c>
      <c r="D6" s="16">
        <v>170.33</v>
      </c>
      <c r="E6" s="16">
        <v>170.33</v>
      </c>
      <c r="F6" s="16">
        <v>170.33</v>
      </c>
      <c r="G6" s="16">
        <v>170.33</v>
      </c>
      <c r="H6" s="16">
        <v>170.33</v>
      </c>
      <c r="I6" s="20">
        <v>187.9</v>
      </c>
      <c r="J6" s="20">
        <v>187.9</v>
      </c>
      <c r="K6" s="20">
        <v>187.9</v>
      </c>
      <c r="L6" s="20">
        <v>187.9</v>
      </c>
      <c r="M6" s="20">
        <v>375.8</v>
      </c>
    </row>
    <row r="7">
      <c r="A7" s="4" t="s">
        <v>20</v>
      </c>
      <c r="B7" s="9">
        <v>1050.0</v>
      </c>
      <c r="C7" s="23">
        <v>1600.0</v>
      </c>
      <c r="D7" s="23">
        <v>615.0</v>
      </c>
      <c r="E7" s="25">
        <v>790.0</v>
      </c>
      <c r="F7" s="25">
        <v>1260.0</v>
      </c>
      <c r="G7" s="25">
        <v>1650.0</v>
      </c>
      <c r="H7" s="20">
        <v>2720.0</v>
      </c>
      <c r="I7" s="20">
        <v>580.0</v>
      </c>
      <c r="J7" s="20">
        <v>620.0</v>
      </c>
      <c r="K7" s="20">
        <v>800.0</v>
      </c>
      <c r="L7" s="20">
        <v>1830.0</v>
      </c>
      <c r="M7" s="20">
        <v>550.0</v>
      </c>
    </row>
    <row r="8">
      <c r="A8" s="4" t="s">
        <v>21</v>
      </c>
      <c r="B8" s="26"/>
      <c r="C8" s="27"/>
      <c r="D8" s="25"/>
      <c r="E8" s="28"/>
      <c r="F8" s="28"/>
      <c r="G8" s="28"/>
      <c r="H8" s="29"/>
      <c r="I8" s="29"/>
      <c r="J8" s="29"/>
      <c r="K8" s="29"/>
      <c r="L8" s="20">
        <v>9480.0</v>
      </c>
      <c r="M8" s="29"/>
    </row>
    <row r="9">
      <c r="A9" s="4" t="s">
        <v>22</v>
      </c>
      <c r="B9" s="31">
        <v>20538.9</v>
      </c>
      <c r="C9" s="11">
        <v>43348.22</v>
      </c>
      <c r="D9" s="32">
        <v>64293.0</v>
      </c>
      <c r="E9" s="33">
        <v>21622.0</v>
      </c>
      <c r="F9" s="33">
        <v>28493.94</v>
      </c>
      <c r="G9" s="33">
        <v>33565.0</v>
      </c>
      <c r="H9" s="32">
        <v>53059.88</v>
      </c>
      <c r="I9" s="32">
        <v>137157.14</v>
      </c>
      <c r="J9" s="11">
        <v>78637.94</v>
      </c>
      <c r="K9" s="32">
        <v>59393.87</v>
      </c>
      <c r="L9" s="32">
        <v>65578.7</v>
      </c>
      <c r="M9" s="32">
        <v>54457.85</v>
      </c>
    </row>
    <row r="10">
      <c r="A10" s="4" t="s">
        <v>28</v>
      </c>
      <c r="B10" s="35">
        <v>1123.0</v>
      </c>
      <c r="C10" s="33"/>
      <c r="D10" s="33"/>
      <c r="E10" s="32"/>
      <c r="F10" s="32"/>
      <c r="G10" s="36"/>
      <c r="H10" s="37"/>
      <c r="I10" s="37"/>
      <c r="J10" s="32"/>
      <c r="K10" s="37"/>
      <c r="L10" s="37"/>
      <c r="M10" s="37"/>
    </row>
    <row r="11">
      <c r="A11" s="4" t="s">
        <v>25</v>
      </c>
      <c r="B11" s="26"/>
      <c r="C11" s="33"/>
      <c r="D11" s="33"/>
      <c r="E11" s="32">
        <v>18428.0</v>
      </c>
      <c r="F11" s="32"/>
      <c r="G11" s="36"/>
      <c r="H11" s="37"/>
      <c r="I11" s="37"/>
      <c r="J11" s="37"/>
      <c r="K11" s="37"/>
      <c r="L11" s="37"/>
      <c r="M11" s="37"/>
    </row>
    <row r="12">
      <c r="A12" s="4" t="s">
        <v>26</v>
      </c>
      <c r="B12" s="31">
        <v>23398.38</v>
      </c>
      <c r="C12" s="33">
        <v>7069.0</v>
      </c>
      <c r="D12" s="33">
        <v>44586.0</v>
      </c>
      <c r="E12" s="32">
        <v>16199.7</v>
      </c>
      <c r="F12" s="32">
        <v>71552.4</v>
      </c>
      <c r="G12" s="33">
        <v>30533.0</v>
      </c>
      <c r="H12" s="32">
        <v>70484.18</v>
      </c>
      <c r="I12" s="32">
        <v>14161.0</v>
      </c>
      <c r="J12" s="32">
        <v>15950.0</v>
      </c>
      <c r="K12" s="32">
        <v>63053.4</v>
      </c>
      <c r="L12" s="32">
        <v>45445.0</v>
      </c>
      <c r="M12" s="32">
        <v>126002.0</v>
      </c>
    </row>
    <row r="13">
      <c r="A13" s="4" t="s">
        <v>27</v>
      </c>
      <c r="B13" s="35">
        <v>7851.0</v>
      </c>
      <c r="C13" s="33">
        <v>30261.92</v>
      </c>
      <c r="D13" s="33">
        <v>61454.0</v>
      </c>
      <c r="E13" s="32">
        <v>82277.94</v>
      </c>
      <c r="F13" s="32">
        <v>74437.71</v>
      </c>
      <c r="G13" s="32">
        <v>79274.58</v>
      </c>
      <c r="H13" s="32">
        <v>16773.62</v>
      </c>
      <c r="I13" s="32">
        <v>9412.24</v>
      </c>
      <c r="J13" s="32">
        <v>15604.6</v>
      </c>
      <c r="K13" s="32">
        <v>43875.69</v>
      </c>
      <c r="L13" s="32">
        <v>23200.73</v>
      </c>
      <c r="M13" s="32">
        <v>27974.08</v>
      </c>
    </row>
    <row r="14">
      <c r="A14" s="4" t="s">
        <v>29</v>
      </c>
      <c r="B14" s="26"/>
      <c r="C14" s="33"/>
      <c r="D14" s="33"/>
      <c r="E14" s="33">
        <v>426.0</v>
      </c>
      <c r="F14" s="33">
        <v>3389.0</v>
      </c>
      <c r="G14" s="33">
        <v>1289.0</v>
      </c>
      <c r="H14" s="32">
        <v>3658.0</v>
      </c>
      <c r="I14" s="32"/>
      <c r="J14" s="32">
        <v>500.0</v>
      </c>
      <c r="K14" s="37"/>
      <c r="L14" s="37"/>
      <c r="M14" s="37"/>
    </row>
    <row r="15">
      <c r="A15" s="4" t="s">
        <v>30</v>
      </c>
      <c r="B15" s="35">
        <v>33134.0</v>
      </c>
      <c r="C15" s="43">
        <v>20529.0</v>
      </c>
      <c r="D15" s="43">
        <v>12667.0</v>
      </c>
      <c r="E15" s="33">
        <v>46736.0</v>
      </c>
      <c r="F15" s="33">
        <v>2209.0</v>
      </c>
      <c r="G15" s="33">
        <v>3064.0</v>
      </c>
      <c r="H15" s="32">
        <v>16024.0</v>
      </c>
      <c r="I15" s="32">
        <v>21024.0</v>
      </c>
      <c r="J15" s="32">
        <v>8311.0</v>
      </c>
      <c r="K15" s="32">
        <v>2541.0</v>
      </c>
      <c r="L15" s="32">
        <v>5792.0</v>
      </c>
      <c r="M15" s="32">
        <v>21886.0</v>
      </c>
    </row>
    <row r="16">
      <c r="A16" s="4" t="s">
        <v>31</v>
      </c>
      <c r="B16" s="35">
        <v>6618.0</v>
      </c>
      <c r="C16" s="33">
        <v>5820.0</v>
      </c>
      <c r="D16" s="49">
        <v>4216.0</v>
      </c>
      <c r="E16" s="33">
        <v>4204.0</v>
      </c>
      <c r="F16" s="33">
        <v>4672.0</v>
      </c>
      <c r="G16" s="33">
        <v>3026.0</v>
      </c>
      <c r="H16" s="32">
        <v>439.0</v>
      </c>
      <c r="I16" s="32"/>
      <c r="J16" s="32">
        <v>594.0</v>
      </c>
      <c r="K16" s="32">
        <v>2405.0</v>
      </c>
      <c r="L16" s="32">
        <v>1600.0</v>
      </c>
      <c r="M16" s="32">
        <v>1600.0</v>
      </c>
    </row>
    <row r="17">
      <c r="A17" s="4" t="s">
        <v>32</v>
      </c>
      <c r="B17" s="26"/>
      <c r="C17" s="16"/>
      <c r="D17" s="36"/>
      <c r="E17" s="16"/>
      <c r="F17" s="36"/>
      <c r="G17" s="16">
        <v>3500.0</v>
      </c>
      <c r="H17" s="32"/>
      <c r="I17" s="32">
        <v>4000.0</v>
      </c>
      <c r="J17" s="37"/>
      <c r="K17" s="37"/>
      <c r="L17" s="37"/>
      <c r="M17" s="37"/>
    </row>
    <row r="18">
      <c r="A18" s="4" t="s">
        <v>33</v>
      </c>
      <c r="B18" s="35">
        <v>441744.0</v>
      </c>
      <c r="C18" s="32">
        <v>68160.8</v>
      </c>
      <c r="D18" s="33">
        <v>67413.0</v>
      </c>
      <c r="E18" s="32">
        <v>6540.0</v>
      </c>
      <c r="F18" s="32">
        <v>21039.0</v>
      </c>
      <c r="G18" s="32">
        <v>6432.5</v>
      </c>
      <c r="H18" s="32">
        <v>505.0</v>
      </c>
      <c r="I18" s="32">
        <v>422.0</v>
      </c>
      <c r="J18" s="32">
        <v>8393.0</v>
      </c>
      <c r="K18" s="32">
        <v>14736.0</v>
      </c>
      <c r="L18" s="32">
        <v>1363.0</v>
      </c>
      <c r="M18" s="32">
        <v>315.0</v>
      </c>
    </row>
    <row r="19">
      <c r="A19" s="4" t="s">
        <v>34</v>
      </c>
      <c r="B19" s="35">
        <v>64253.0</v>
      </c>
      <c r="C19" s="16">
        <v>13473.0</v>
      </c>
      <c r="D19" s="33">
        <v>122951.0</v>
      </c>
      <c r="E19" s="36"/>
      <c r="F19" s="36"/>
      <c r="G19" s="36"/>
      <c r="H19" s="32">
        <v>3619.0</v>
      </c>
      <c r="I19" s="37"/>
      <c r="J19" s="37"/>
      <c r="K19" s="32">
        <v>168955.0</v>
      </c>
      <c r="L19" s="32">
        <v>117227.0</v>
      </c>
      <c r="M19" s="32">
        <v>55940.0</v>
      </c>
    </row>
    <row r="20">
      <c r="A20" s="4" t="s">
        <v>35</v>
      </c>
      <c r="B20" s="35">
        <v>138406.0</v>
      </c>
      <c r="C20" s="33">
        <v>32150.0</v>
      </c>
      <c r="D20" s="33">
        <v>7770.0</v>
      </c>
      <c r="E20" s="33"/>
      <c r="F20" s="33">
        <v>44135.0</v>
      </c>
      <c r="G20" s="33">
        <v>31245.0</v>
      </c>
      <c r="H20" s="32">
        <v>81237.0</v>
      </c>
      <c r="I20" s="37"/>
      <c r="J20" s="37"/>
      <c r="K20" s="32">
        <v>12880.0</v>
      </c>
      <c r="L20" s="32">
        <v>43473.0</v>
      </c>
      <c r="M20" s="32">
        <v>16390.0</v>
      </c>
    </row>
    <row r="21">
      <c r="A21" s="4" t="s">
        <v>36</v>
      </c>
      <c r="B21" s="26"/>
      <c r="C21" s="16">
        <v>3042.29</v>
      </c>
      <c r="D21" s="32">
        <v>11050.0</v>
      </c>
      <c r="E21" s="32">
        <v>4958328.71</v>
      </c>
      <c r="F21" s="32">
        <v>209041.88</v>
      </c>
      <c r="G21" s="32">
        <v>22982.0</v>
      </c>
      <c r="H21" s="32">
        <v>76315.08</v>
      </c>
      <c r="I21" s="32">
        <v>143584.77</v>
      </c>
      <c r="J21" s="32">
        <v>25216.88</v>
      </c>
      <c r="K21" s="32">
        <v>33506.39</v>
      </c>
      <c r="L21" s="32">
        <v>79310.0</v>
      </c>
      <c r="M21" s="32">
        <v>31484.25</v>
      </c>
    </row>
    <row r="22">
      <c r="A22" s="4" t="s">
        <v>37</v>
      </c>
      <c r="B22" s="26"/>
      <c r="C22" s="16"/>
      <c r="D22" s="36"/>
      <c r="E22" s="33"/>
      <c r="F22" s="33">
        <v>64494.0</v>
      </c>
      <c r="G22" s="16">
        <v>600.0</v>
      </c>
      <c r="H22" s="32">
        <v>2000.0</v>
      </c>
      <c r="I22" s="32"/>
      <c r="J22" s="32">
        <v>6900.0</v>
      </c>
      <c r="K22" s="32">
        <v>45300.0</v>
      </c>
      <c r="L22" s="32">
        <v>17500.0</v>
      </c>
      <c r="M22" s="32">
        <v>30210.0</v>
      </c>
    </row>
    <row r="23">
      <c r="A23" s="4" t="s">
        <v>39</v>
      </c>
      <c r="B23" s="51">
        <f t="shared" ref="B23:M23" si="1">SUM(B2:B22,B40,B38,B39)</f>
        <v>806755.4</v>
      </c>
      <c r="C23" s="51">
        <f t="shared" si="1"/>
        <v>291442.22</v>
      </c>
      <c r="D23" s="51">
        <f t="shared" si="1"/>
        <v>465841.84</v>
      </c>
      <c r="E23" s="51">
        <f t="shared" si="1"/>
        <v>5220944.04</v>
      </c>
      <c r="F23" s="51">
        <f t="shared" si="1"/>
        <v>591366.67</v>
      </c>
      <c r="G23" s="51">
        <f t="shared" si="1"/>
        <v>283353.81</v>
      </c>
      <c r="H23" s="51">
        <f t="shared" si="1"/>
        <v>386405.23</v>
      </c>
      <c r="I23" s="51">
        <f t="shared" si="1"/>
        <v>393258.88</v>
      </c>
      <c r="J23" s="51">
        <f t="shared" si="1"/>
        <v>225602.13</v>
      </c>
      <c r="K23" s="51">
        <f t="shared" si="1"/>
        <v>509027.34</v>
      </c>
      <c r="L23" s="51">
        <f t="shared" si="1"/>
        <v>479367.29</v>
      </c>
      <c r="M23" s="51">
        <f t="shared" si="1"/>
        <v>442884.12</v>
      </c>
    </row>
    <row r="24">
      <c r="A24" s="54" t="s">
        <v>42</v>
      </c>
      <c r="B24" s="55">
        <f>SUM(B23:M23)</f>
        <v>10096248.97</v>
      </c>
    </row>
    <row r="25">
      <c r="A25" s="56" t="s">
        <v>43</v>
      </c>
      <c r="B25" s="57" t="s">
        <v>45</v>
      </c>
      <c r="C25" s="58" t="s">
        <v>46</v>
      </c>
      <c r="D25" s="59" t="s">
        <v>47</v>
      </c>
    </row>
    <row r="26">
      <c r="A26" s="60" t="s">
        <v>48</v>
      </c>
      <c r="C26" s="61"/>
    </row>
    <row r="27">
      <c r="A27" s="4" t="s">
        <v>49</v>
      </c>
      <c r="B27" s="9"/>
      <c r="C27" s="65">
        <v>357388.33</v>
      </c>
      <c r="D27" s="43">
        <v>586166.04</v>
      </c>
      <c r="E27" s="11">
        <v>207694.0</v>
      </c>
      <c r="F27" s="11">
        <v>325095.78</v>
      </c>
      <c r="G27" s="43">
        <v>378153.1</v>
      </c>
      <c r="H27" s="11">
        <v>453665.25</v>
      </c>
      <c r="I27" s="11">
        <v>256696.08</v>
      </c>
      <c r="J27" s="11">
        <v>341068.81</v>
      </c>
      <c r="K27" s="11">
        <v>376168.01</v>
      </c>
      <c r="L27" s="11">
        <v>382873.71</v>
      </c>
      <c r="M27" s="11">
        <v>585266.64</v>
      </c>
    </row>
    <row r="28">
      <c r="A28" s="4" t="s">
        <v>50</v>
      </c>
      <c r="B28" s="9">
        <v>46000.0</v>
      </c>
      <c r="C28" s="10">
        <v>46000.0</v>
      </c>
      <c r="D28" s="10">
        <v>46000.0</v>
      </c>
      <c r="E28" s="10">
        <v>46000.0</v>
      </c>
      <c r="F28" s="10">
        <v>50000.0</v>
      </c>
      <c r="G28" s="10">
        <v>50000.0</v>
      </c>
      <c r="H28" s="11">
        <v>50000.0</v>
      </c>
      <c r="I28" s="11">
        <v>50000.0</v>
      </c>
      <c r="J28" s="11">
        <v>50000.0</v>
      </c>
      <c r="K28" s="11">
        <v>50000.0</v>
      </c>
      <c r="L28" s="11">
        <v>50000.0</v>
      </c>
      <c r="M28" s="11">
        <v>50000.0</v>
      </c>
    </row>
    <row r="29">
      <c r="A29" s="4" t="s">
        <v>51</v>
      </c>
      <c r="B29" s="9">
        <v>8200.0</v>
      </c>
      <c r="C29" s="65">
        <v>6850.0</v>
      </c>
      <c r="D29" s="10">
        <v>7800.0</v>
      </c>
      <c r="E29" s="10">
        <v>6400.0</v>
      </c>
      <c r="F29" s="10">
        <v>7410.0</v>
      </c>
      <c r="G29" s="10">
        <v>7800.0</v>
      </c>
      <c r="H29" s="11">
        <v>4400.0</v>
      </c>
      <c r="I29" s="11">
        <v>6500.0</v>
      </c>
      <c r="J29" s="11">
        <v>7400.0</v>
      </c>
      <c r="K29" s="11">
        <v>5780.0</v>
      </c>
      <c r="L29" s="11">
        <v>6800.0</v>
      </c>
      <c r="M29" s="11">
        <v>58700.0</v>
      </c>
    </row>
    <row r="30">
      <c r="A30" s="66" t="s">
        <v>53</v>
      </c>
      <c r="B30" s="32">
        <v>321804.71</v>
      </c>
      <c r="C30" s="11">
        <v>12409.09</v>
      </c>
      <c r="D30" s="23"/>
      <c r="E30" s="25">
        <v>648500.0</v>
      </c>
      <c r="F30" s="23"/>
      <c r="G30" s="23">
        <v>17000.0</v>
      </c>
      <c r="H30" s="20">
        <v>9400.0</v>
      </c>
      <c r="I30" s="20">
        <v>12500.0</v>
      </c>
      <c r="J30" s="29"/>
      <c r="K30" s="29"/>
      <c r="L30" s="20">
        <v>13604.0</v>
      </c>
      <c r="M30" s="29"/>
    </row>
    <row r="31">
      <c r="A31" s="66" t="s">
        <v>54</v>
      </c>
      <c r="B31" s="32">
        <v>97579.36</v>
      </c>
      <c r="C31" s="20">
        <v>187566.53</v>
      </c>
      <c r="D31" s="23">
        <v>33645.95</v>
      </c>
      <c r="E31" s="20">
        <v>121111.41</v>
      </c>
      <c r="F31" s="23">
        <v>12055.38</v>
      </c>
      <c r="G31" s="23">
        <v>14460.88</v>
      </c>
      <c r="H31" s="20">
        <v>14367.28</v>
      </c>
      <c r="I31" s="20">
        <v>17773.18</v>
      </c>
      <c r="J31" s="20">
        <v>16734.67</v>
      </c>
      <c r="K31" s="20">
        <v>13051.61</v>
      </c>
      <c r="L31" s="20">
        <v>13693.05</v>
      </c>
      <c r="M31" s="20">
        <v>15194.54</v>
      </c>
    </row>
    <row r="32">
      <c r="A32" s="4" t="s">
        <v>55</v>
      </c>
      <c r="B32" s="9">
        <v>795.5</v>
      </c>
      <c r="C32" s="10">
        <v>6000.0</v>
      </c>
      <c r="D32" s="10">
        <v>3314.0</v>
      </c>
      <c r="E32" s="10">
        <v>5564.0</v>
      </c>
      <c r="F32" s="10">
        <v>3698.0</v>
      </c>
      <c r="G32" s="10"/>
      <c r="H32" s="11">
        <v>6296.0</v>
      </c>
      <c r="I32" s="11">
        <v>3352.0</v>
      </c>
      <c r="J32" s="11">
        <v>6695.0</v>
      </c>
      <c r="K32" s="68"/>
      <c r="L32" s="11">
        <v>6853.0</v>
      </c>
      <c r="M32" s="11">
        <v>6450.0</v>
      </c>
    </row>
    <row r="33">
      <c r="A33" s="70" t="s">
        <v>41</v>
      </c>
      <c r="B33" s="71">
        <f>SUM(B27:B32)</f>
        <v>474379.57</v>
      </c>
      <c r="C33" s="71">
        <f>SUM(C26:C32)</f>
        <v>616213.95</v>
      </c>
      <c r="D33" s="71">
        <f t="shared" ref="D33:M33" si="2">SUM(D27:D32)</f>
        <v>676925.99</v>
      </c>
      <c r="E33" s="71">
        <f t="shared" si="2"/>
        <v>1035269.41</v>
      </c>
      <c r="F33" s="71">
        <f t="shared" si="2"/>
        <v>398259.16</v>
      </c>
      <c r="G33" s="71">
        <f t="shared" si="2"/>
        <v>467413.98</v>
      </c>
      <c r="H33" s="71">
        <f t="shared" si="2"/>
        <v>538128.53</v>
      </c>
      <c r="I33" s="71">
        <f t="shared" si="2"/>
        <v>346821.26</v>
      </c>
      <c r="J33" s="71">
        <f t="shared" si="2"/>
        <v>421898.48</v>
      </c>
      <c r="K33" s="71">
        <f t="shared" si="2"/>
        <v>444999.62</v>
      </c>
      <c r="L33" s="71">
        <f t="shared" si="2"/>
        <v>473823.76</v>
      </c>
      <c r="M33" s="71">
        <f t="shared" si="2"/>
        <v>715611.18</v>
      </c>
    </row>
    <row r="34">
      <c r="A34" s="4" t="s">
        <v>61</v>
      </c>
      <c r="B34" s="51">
        <f>SUM(B33:M33)</f>
        <v>6609744.89</v>
      </c>
    </row>
    <row r="35">
      <c r="A35" s="60" t="s">
        <v>62</v>
      </c>
      <c r="B35" s="80">
        <f t="shared" ref="B35:M35" si="3">B33-B23</f>
        <v>-332375.83</v>
      </c>
      <c r="C35" s="80">
        <f t="shared" si="3"/>
        <v>324771.73</v>
      </c>
      <c r="D35" s="80">
        <f t="shared" si="3"/>
        <v>211084.15</v>
      </c>
      <c r="E35" s="80">
        <f t="shared" si="3"/>
        <v>-4185674.63</v>
      </c>
      <c r="F35" s="80">
        <f t="shared" si="3"/>
        <v>-193107.51</v>
      </c>
      <c r="G35" s="80">
        <f t="shared" si="3"/>
        <v>184060.17</v>
      </c>
      <c r="H35" s="80">
        <f t="shared" si="3"/>
        <v>151723.3</v>
      </c>
      <c r="I35" s="80">
        <f t="shared" si="3"/>
        <v>-46437.62</v>
      </c>
      <c r="J35" s="80">
        <f t="shared" si="3"/>
        <v>196296.35</v>
      </c>
      <c r="K35" s="80">
        <f t="shared" si="3"/>
        <v>-64027.72</v>
      </c>
      <c r="L35" s="80">
        <f t="shared" si="3"/>
        <v>-5543.53</v>
      </c>
      <c r="M35" s="80">
        <f t="shared" si="3"/>
        <v>272727.06</v>
      </c>
    </row>
    <row r="36">
      <c r="A36" s="60"/>
    </row>
    <row r="37">
      <c r="A37" s="60" t="s">
        <v>63</v>
      </c>
    </row>
    <row r="38">
      <c r="A38" s="4" t="s">
        <v>64</v>
      </c>
      <c r="B38" s="9"/>
      <c r="C38" s="84"/>
      <c r="D38" s="84"/>
      <c r="E38" s="84"/>
      <c r="F38" s="84"/>
      <c r="G38" s="84"/>
      <c r="H38" s="84"/>
      <c r="I38" s="84"/>
      <c r="J38" s="84"/>
      <c r="K38" s="84"/>
      <c r="L38" s="10">
        <v>2000.0</v>
      </c>
      <c r="M38" s="84"/>
    </row>
    <row r="39">
      <c r="A39" s="4" t="s">
        <v>65</v>
      </c>
      <c r="B39" s="26"/>
      <c r="C39" s="10"/>
      <c r="D39" s="84"/>
      <c r="E39" s="84"/>
      <c r="F39" s="84"/>
      <c r="G39" s="84"/>
      <c r="H39" s="84"/>
      <c r="I39" s="84"/>
      <c r="J39" s="84"/>
      <c r="K39" s="84"/>
      <c r="L39" s="84"/>
      <c r="M39" s="84"/>
    </row>
    <row r="40">
      <c r="A40" s="4" t="s">
        <v>66</v>
      </c>
      <c r="B40" s="10">
        <v>50122.44</v>
      </c>
      <c r="C40" s="10">
        <v>50122.44</v>
      </c>
      <c r="D40" s="10">
        <v>50122.44</v>
      </c>
      <c r="E40" s="10">
        <v>50122.44</v>
      </c>
      <c r="F40" s="10">
        <v>50122.44</v>
      </c>
      <c r="G40" s="10">
        <v>50122.44</v>
      </c>
      <c r="H40" s="10">
        <v>50122.44</v>
      </c>
      <c r="I40" s="10">
        <v>50122.44</v>
      </c>
      <c r="J40" s="10">
        <v>50122.44</v>
      </c>
      <c r="K40" s="10">
        <v>50122.44</v>
      </c>
      <c r="L40" s="10">
        <v>50122.44</v>
      </c>
      <c r="M40" s="10">
        <v>50122.44</v>
      </c>
    </row>
    <row r="42">
      <c r="A42" s="65" t="s">
        <v>67</v>
      </c>
      <c r="B42" s="80">
        <f>MINUS(B34,B24)</f>
        <v>-3486504.08</v>
      </c>
    </row>
    <row r="45">
      <c r="A45" s="10" t="s">
        <v>68</v>
      </c>
      <c r="B45" s="10" t="s">
        <v>69</v>
      </c>
      <c r="C45" s="10" t="s">
        <v>70</v>
      </c>
      <c r="D45" s="10" t="s">
        <v>71</v>
      </c>
      <c r="E45" s="10" t="s">
        <v>72</v>
      </c>
      <c r="F45" s="84"/>
    </row>
    <row r="46">
      <c r="A46" s="10" t="s">
        <v>73</v>
      </c>
      <c r="B46" s="10">
        <v>1500.0</v>
      </c>
      <c r="C46" s="10">
        <v>1480.0</v>
      </c>
      <c r="D46" s="10" t="s">
        <v>74</v>
      </c>
      <c r="E46" s="10">
        <v>2000.0</v>
      </c>
      <c r="F46" s="84"/>
    </row>
    <row r="47">
      <c r="A47" s="10" t="s">
        <v>75</v>
      </c>
      <c r="B47" s="10">
        <v>92.2</v>
      </c>
      <c r="C47" s="10">
        <v>94.6</v>
      </c>
      <c r="D47" s="11">
        <v>6980.5</v>
      </c>
      <c r="E47" s="10">
        <v>92.9</v>
      </c>
      <c r="F47" s="84"/>
    </row>
    <row r="48">
      <c r="A48" s="10" t="s">
        <v>76</v>
      </c>
      <c r="B48" s="84">
        <f t="shared" ref="B48:C48" si="4">MULTIPLY(B46,B47)</f>
        <v>138300</v>
      </c>
      <c r="C48" s="84">
        <f t="shared" si="4"/>
        <v>140008</v>
      </c>
      <c r="D48" s="87"/>
      <c r="E48" s="10">
        <v>185800.0</v>
      </c>
      <c r="F48" s="84"/>
      <c r="I48" s="49"/>
    </row>
    <row r="49">
      <c r="A49" s="10" t="s">
        <v>77</v>
      </c>
      <c r="B49" s="84"/>
      <c r="C49" s="84"/>
      <c r="D49" s="10">
        <v>139610.0</v>
      </c>
      <c r="E49" s="10"/>
      <c r="F49" s="84"/>
    </row>
    <row r="50">
      <c r="A50" s="10" t="s">
        <v>78</v>
      </c>
      <c r="B50" s="88">
        <f>IFERROR(__xludf.DUMMYFUNCTION(" GoogleFinance(""Currency:USDRUB"")"),80.67467)</f>
        <v>80.67467</v>
      </c>
      <c r="C50" s="88">
        <f>IFERROR(__xludf.DUMMYFUNCTION(" GoogleFinance(""Currency:USDRUB"")"),80.67467)</f>
        <v>80.67467</v>
      </c>
      <c r="D50" s="89"/>
      <c r="E50" s="84"/>
      <c r="F50" s="84"/>
    </row>
    <row r="51">
      <c r="A51" s="23" t="s">
        <v>79</v>
      </c>
      <c r="B51" s="90">
        <f>IFERROR(__xludf.DUMMYFUNCTION("IMPORTXML(""https://www.cbr.ru/scripts/XML_daily.asp?date_req=""&amp;TO_TEXT(TODAY()),""//ValCurs/Valute[NumCode=""""840""""]/Value"")"),80.6761)</f>
        <v>80.6761</v>
      </c>
      <c r="C51" s="90">
        <f>IFERROR(__xludf.DUMMYFUNCTION("IMPORTXML(""https://www.cbr.ru/scripts/XML_daily.asp?date_req=""&amp;TO_TEXT(TODAY()),""//ValCurs/Valute[NumCode=""""840""""]/Value"")"),80.6761)</f>
        <v>80.6761</v>
      </c>
    </row>
    <row r="52">
      <c r="A52" s="4" t="s">
        <v>80</v>
      </c>
      <c r="B52" s="91">
        <f t="shared" ref="B52:C52" si="5">(B51*B46)-B48</f>
        <v>-17285.85</v>
      </c>
      <c r="C52" s="91">
        <f t="shared" si="5"/>
        <v>-20607.372</v>
      </c>
      <c r="E52" s="92">
        <f>(C51*E46)-E48</f>
        <v>-24447.8</v>
      </c>
    </row>
    <row r="53">
      <c r="A53" s="4" t="s">
        <v>81</v>
      </c>
      <c r="B53" s="4">
        <f t="shared" ref="B53:C53" si="6">(B50*B46)-B48</f>
        <v>-17287.995</v>
      </c>
      <c r="C53" s="4">
        <f t="shared" si="6"/>
        <v>-20609.4884</v>
      </c>
      <c r="E53" s="92">
        <f>(C50*E46)-E48</f>
        <v>-24450.66</v>
      </c>
    </row>
    <row r="54">
      <c r="A54" s="6"/>
      <c r="B54" s="6"/>
    </row>
    <row r="56">
      <c r="A56" s="4" t="s">
        <v>82</v>
      </c>
      <c r="B56" s="96">
        <f>SUM(B48,B65,C48,D49)</f>
        <v>444318</v>
      </c>
    </row>
    <row r="57">
      <c r="A57" s="54" t="s">
        <v>83</v>
      </c>
      <c r="B57" s="97">
        <v>628138.0</v>
      </c>
      <c r="D57" s="98"/>
      <c r="E57" s="98"/>
    </row>
    <row r="59">
      <c r="C59" s="99"/>
    </row>
    <row r="62">
      <c r="A62" s="100" t="s">
        <v>84</v>
      </c>
      <c r="B62" s="101"/>
    </row>
    <row r="63">
      <c r="A63" s="10" t="s">
        <v>73</v>
      </c>
      <c r="B63" s="10">
        <v>4980.0</v>
      </c>
    </row>
    <row r="64">
      <c r="A64" s="10" t="s">
        <v>85</v>
      </c>
      <c r="B64" s="10" t="s">
        <v>86</v>
      </c>
    </row>
    <row r="65">
      <c r="A65" s="10" t="s">
        <v>87</v>
      </c>
      <c r="B65" s="43">
        <v>26400.0</v>
      </c>
    </row>
    <row r="67">
      <c r="B67" s="103"/>
      <c r="C67" s="103"/>
      <c r="D67" s="103"/>
      <c r="E67" s="103"/>
      <c r="F67" s="103"/>
    </row>
    <row r="68">
      <c r="A68" s="12" t="s">
        <v>88</v>
      </c>
      <c r="B68" s="38">
        <v>2040000.0</v>
      </c>
      <c r="C68" s="104"/>
      <c r="D68" s="104"/>
      <c r="E68" s="104"/>
      <c r="F68" s="104"/>
      <c r="G68" s="105"/>
    </row>
    <row r="69">
      <c r="A69" s="106" t="s">
        <v>89</v>
      </c>
      <c r="B69" s="65">
        <v>5125794.32</v>
      </c>
    </row>
    <row r="70">
      <c r="A70" s="65" t="s">
        <v>90</v>
      </c>
    </row>
    <row r="71">
      <c r="A71" s="12" t="s">
        <v>91</v>
      </c>
      <c r="B71" s="38">
        <v>500000.0</v>
      </c>
    </row>
    <row r="73">
      <c r="A73" s="90"/>
      <c r="B73" s="65" t="s">
        <v>93</v>
      </c>
      <c r="C73" s="65" t="s">
        <v>93</v>
      </c>
      <c r="D73" s="65" t="s">
        <v>93</v>
      </c>
      <c r="E73" s="65" t="s">
        <v>93</v>
      </c>
      <c r="F73" s="65" t="s">
        <v>93</v>
      </c>
      <c r="G73" s="65" t="s">
        <v>93</v>
      </c>
      <c r="H73" s="65" t="s">
        <v>93</v>
      </c>
      <c r="I73" s="65" t="s">
        <v>93</v>
      </c>
      <c r="J73" s="65" t="s">
        <v>93</v>
      </c>
      <c r="K73" s="65" t="s">
        <v>94</v>
      </c>
      <c r="L73" s="65" t="s">
        <v>94</v>
      </c>
      <c r="M73" s="65" t="s">
        <v>94</v>
      </c>
      <c r="N73" s="65" t="s">
        <v>94</v>
      </c>
      <c r="O73" s="65" t="s">
        <v>94</v>
      </c>
      <c r="P73" s="65" t="s">
        <v>94</v>
      </c>
      <c r="Q73" s="65" t="s">
        <v>94</v>
      </c>
    </row>
    <row r="74">
      <c r="A74" s="12"/>
      <c r="B74" s="108" t="s">
        <v>96</v>
      </c>
      <c r="C74" s="108" t="s">
        <v>97</v>
      </c>
      <c r="D74" s="108" t="s">
        <v>98</v>
      </c>
      <c r="E74" s="108" t="s">
        <v>99</v>
      </c>
      <c r="F74" s="108" t="s">
        <v>100</v>
      </c>
      <c r="G74" s="12" t="s">
        <v>101</v>
      </c>
      <c r="H74" s="108" t="s">
        <v>102</v>
      </c>
      <c r="I74" s="12" t="s">
        <v>103</v>
      </c>
      <c r="J74" s="12" t="s">
        <v>104</v>
      </c>
      <c r="K74" s="65" t="s">
        <v>105</v>
      </c>
      <c r="L74" s="65" t="s">
        <v>106</v>
      </c>
      <c r="M74" s="103" t="s">
        <v>107</v>
      </c>
      <c r="N74" s="103" t="s">
        <v>108</v>
      </c>
      <c r="O74" s="65" t="s">
        <v>109</v>
      </c>
      <c r="P74" s="65" t="s">
        <v>110</v>
      </c>
      <c r="Q74" s="109">
        <v>45983.0</v>
      </c>
    </row>
    <row r="75">
      <c r="A75" s="13" t="s">
        <v>112</v>
      </c>
      <c r="B75" s="108">
        <f>24400+2980*92.5058+20*6872.79</f>
        <v>437523.084</v>
      </c>
      <c r="C75" s="112">
        <f>24400+2980*90.9239+20*6891.61</f>
        <v>433185.422</v>
      </c>
      <c r="D75" s="112">
        <f>24400+90.1887*2980+20*7038.28</f>
        <v>433927.926</v>
      </c>
      <c r="E75" s="112">
        <f>24400+88.6852*2980+20*6661.07
</f>
        <v>421903.296</v>
      </c>
      <c r="F75" s="112">
        <f>24400+88.7436*2980+6677.83*20</f>
        <v>422412.528</v>
      </c>
      <c r="G75" s="112">
        <f>24400+88.2824*2980+20*6919.31</f>
        <v>425867.752</v>
      </c>
      <c r="H75" s="112">
        <f>24400+88.9062*2980+20*6993.5</f>
        <v>429210.476</v>
      </c>
      <c r="I75" s="38">
        <f>23120+96.4172*2980+20*8335.12</f>
        <v>477145.656</v>
      </c>
      <c r="J75" s="38">
        <f>24400+107.7409*2980+20*9151.23</f>
        <v>528492.482</v>
      </c>
      <c r="K75" s="92">
        <f>24400+97.8107*2980+20*8765.02</f>
        <v>491176.286</v>
      </c>
      <c r="L75" s="92">
        <f>24400+91.4347*2980+20*8517.87</f>
        <v>467232.806</v>
      </c>
      <c r="M75" s="92">
        <f>20220+89.2448*2980+20*8388.59</f>
        <v>453941.304</v>
      </c>
      <c r="N75" s="92">
        <f>24400+89.7878*4980+20*8388.59</f>
        <v>639315.044</v>
      </c>
      <c r="O75" s="92">
        <f>24400+84.3059*4980+20*8071.99</f>
        <v>605683.182</v>
      </c>
      <c r="P75" s="92">
        <f>26400+81.5556*4980+20*9298.65</f>
        <v>618519.888</v>
      </c>
      <c r="Q75" s="92">
        <f>26400+78.97044*4980+20*10392.98</f>
        <v>627532.3912</v>
      </c>
    </row>
    <row r="76">
      <c r="A76" s="12"/>
      <c r="B76" s="108">
        <f>B75-B56</f>
        <v>-6794.916</v>
      </c>
      <c r="C76" s="108">
        <f>C75-B56</f>
        <v>-11132.578</v>
      </c>
      <c r="D76" s="108">
        <f>D75-B56</f>
        <v>-10390.074</v>
      </c>
      <c r="E76" s="108">
        <f>E75-B56</f>
        <v>-22414.704</v>
      </c>
      <c r="F76" s="108">
        <f>F75-B56</f>
        <v>-21905.472</v>
      </c>
      <c r="G76" s="108">
        <f>G75-B56</f>
        <v>-18450.248</v>
      </c>
      <c r="H76" s="108">
        <f>H75-B56</f>
        <v>-15107.524</v>
      </c>
      <c r="I76" s="38">
        <f>I75-B56</f>
        <v>32827.656</v>
      </c>
      <c r="J76" s="38">
        <f>J75-B56</f>
        <v>84174.482</v>
      </c>
      <c r="K76" s="92">
        <f>K75-B56</f>
        <v>46858.286</v>
      </c>
      <c r="L76" s="92">
        <f>L75-B56</f>
        <v>22914.806</v>
      </c>
      <c r="M76" s="92">
        <f>M75-B56</f>
        <v>9623.304</v>
      </c>
      <c r="N76" s="115">
        <f>N75-B57</f>
        <v>11177.044</v>
      </c>
      <c r="O76" s="115">
        <f>O75-B57</f>
        <v>-22454.818</v>
      </c>
      <c r="P76" s="115">
        <f>P75-B57</f>
        <v>-9618.112</v>
      </c>
      <c r="Q76" s="115">
        <f>Q75-B57</f>
        <v>-605.6088</v>
      </c>
    </row>
    <row r="79">
      <c r="A79" s="65" t="s">
        <v>124</v>
      </c>
      <c r="B79" s="65">
        <v>353041.24</v>
      </c>
    </row>
    <row r="80">
      <c r="A80" s="65" t="s">
        <v>125</v>
      </c>
      <c r="B80" s="80">
        <f>SUM(B31:M31)</f>
        <v>557233.84</v>
      </c>
    </row>
    <row r="83">
      <c r="A83" s="65" t="s">
        <v>126</v>
      </c>
    </row>
  </sheetData>
  <mergeCells count="1">
    <mergeCell ref="A62:B6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75"/>
  </cols>
  <sheetData>
    <row r="1">
      <c r="A1" s="1" t="s">
        <v>13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14</v>
      </c>
    </row>
    <row r="2">
      <c r="A2" s="4" t="s">
        <v>15</v>
      </c>
      <c r="B2" s="5"/>
      <c r="C2" s="10">
        <v>3994.59</v>
      </c>
      <c r="D2" s="6">
        <v>3698.65</v>
      </c>
      <c r="E2" s="6">
        <v>4438.5</v>
      </c>
      <c r="F2" s="6"/>
      <c r="G2" s="6"/>
      <c r="H2" s="7"/>
      <c r="I2" s="7"/>
      <c r="J2" s="7"/>
      <c r="K2" s="7"/>
      <c r="L2" s="7"/>
      <c r="M2" s="7"/>
    </row>
    <row r="3">
      <c r="A3" s="4" t="s">
        <v>16</v>
      </c>
      <c r="B3" s="9"/>
      <c r="C3" s="10">
        <v>4087.46</v>
      </c>
      <c r="D3" s="10">
        <v>5785.53</v>
      </c>
      <c r="E3" s="6">
        <v>3169.41</v>
      </c>
      <c r="F3" s="10"/>
      <c r="G3" s="10"/>
      <c r="H3" s="11"/>
      <c r="I3" s="11"/>
      <c r="J3" s="11"/>
      <c r="K3" s="11"/>
      <c r="L3" s="11"/>
      <c r="M3" s="11"/>
    </row>
    <row r="4">
      <c r="A4" s="4" t="s">
        <v>17</v>
      </c>
      <c r="B4" s="9">
        <v>7737.89</v>
      </c>
      <c r="C4" s="10">
        <v>11557.42</v>
      </c>
      <c r="D4" s="10">
        <v>11273.63</v>
      </c>
      <c r="E4" s="10">
        <v>11914.91</v>
      </c>
      <c r="F4" s="10"/>
      <c r="G4" s="10"/>
      <c r="H4" s="11"/>
      <c r="I4" s="11"/>
      <c r="J4" s="11"/>
      <c r="K4" s="11"/>
      <c r="L4" s="11"/>
      <c r="M4" s="11"/>
      <c r="N4" s="16"/>
    </row>
    <row r="5">
      <c r="A5" s="4" t="s">
        <v>18</v>
      </c>
      <c r="B5" s="9"/>
      <c r="C5" s="10">
        <v>1796.15</v>
      </c>
      <c r="D5" s="10">
        <v>894.0</v>
      </c>
      <c r="E5" s="10">
        <v>942.0</v>
      </c>
      <c r="F5" s="10"/>
      <c r="G5" s="10"/>
      <c r="H5" s="11"/>
      <c r="I5" s="11"/>
      <c r="J5" s="11"/>
      <c r="K5" s="11"/>
      <c r="L5" s="11"/>
      <c r="M5" s="11"/>
    </row>
    <row r="6">
      <c r="A6" s="4" t="s">
        <v>19</v>
      </c>
      <c r="B6" s="16"/>
      <c r="C6" s="16">
        <v>191.04</v>
      </c>
      <c r="D6" s="16">
        <v>191.04</v>
      </c>
      <c r="E6" s="16">
        <v>191.04</v>
      </c>
      <c r="F6" s="16"/>
      <c r="G6" s="16"/>
      <c r="H6" s="16"/>
      <c r="I6" s="20"/>
      <c r="J6" s="20"/>
      <c r="K6" s="20"/>
      <c r="L6" s="20"/>
      <c r="M6" s="20"/>
    </row>
    <row r="7">
      <c r="A7" s="4" t="s">
        <v>20</v>
      </c>
      <c r="B7" s="9">
        <v>2300.0</v>
      </c>
      <c r="C7" s="23">
        <v>1200.0</v>
      </c>
      <c r="D7" s="25">
        <v>1482.0</v>
      </c>
      <c r="E7" s="25">
        <v>400.0</v>
      </c>
      <c r="F7" s="25"/>
      <c r="G7" s="25"/>
      <c r="H7" s="20"/>
      <c r="I7" s="20"/>
      <c r="J7" s="20"/>
      <c r="K7" s="20"/>
      <c r="L7" s="20"/>
      <c r="M7" s="20"/>
    </row>
    <row r="8">
      <c r="A8" s="4" t="s">
        <v>21</v>
      </c>
      <c r="B8" s="26"/>
      <c r="C8" s="27"/>
      <c r="D8" s="25"/>
      <c r="E8" s="28"/>
      <c r="F8" s="28"/>
      <c r="G8" s="28"/>
      <c r="H8" s="29"/>
      <c r="I8" s="29"/>
      <c r="J8" s="29"/>
      <c r="K8" s="29"/>
      <c r="L8" s="20"/>
      <c r="M8" s="29"/>
    </row>
    <row r="9">
      <c r="A9" s="4" t="s">
        <v>22</v>
      </c>
      <c r="B9" s="31">
        <v>112058.53</v>
      </c>
      <c r="C9" s="11">
        <v>15525.75</v>
      </c>
      <c r="D9" s="32">
        <v>19498.89</v>
      </c>
      <c r="E9" s="33">
        <v>19398.0</v>
      </c>
      <c r="F9" s="33"/>
      <c r="G9" s="33"/>
      <c r="H9" s="32"/>
      <c r="I9" s="32"/>
      <c r="J9" s="11"/>
      <c r="K9" s="32"/>
      <c r="L9" s="32"/>
      <c r="M9" s="32"/>
    </row>
    <row r="10">
      <c r="A10" s="4" t="s">
        <v>23</v>
      </c>
      <c r="B10" s="35"/>
      <c r="C10" s="33">
        <v>12963.0</v>
      </c>
      <c r="D10" s="33"/>
      <c r="E10" s="32"/>
      <c r="F10" s="32"/>
      <c r="G10" s="36"/>
      <c r="H10" s="37"/>
      <c r="I10" s="37"/>
      <c r="J10" s="32"/>
      <c r="K10" s="37"/>
      <c r="L10" s="37"/>
      <c r="M10" s="37"/>
    </row>
    <row r="11">
      <c r="A11" s="4" t="s">
        <v>25</v>
      </c>
      <c r="B11" s="26"/>
      <c r="C11" s="33"/>
      <c r="D11" s="33">
        <v>19928.0</v>
      </c>
      <c r="E11" s="32"/>
      <c r="F11" s="32"/>
      <c r="G11" s="36"/>
      <c r="H11" s="37"/>
      <c r="I11" s="37"/>
      <c r="J11" s="37"/>
      <c r="K11" s="37"/>
      <c r="L11" s="37"/>
      <c r="M11" s="37"/>
    </row>
    <row r="12">
      <c r="A12" s="4" t="s">
        <v>26</v>
      </c>
      <c r="B12" s="31">
        <v>13800.0</v>
      </c>
      <c r="C12" s="33">
        <v>9941.0</v>
      </c>
      <c r="D12" s="33">
        <v>59876.0</v>
      </c>
      <c r="E12" s="32">
        <v>7609.0</v>
      </c>
      <c r="F12" s="32"/>
      <c r="G12" s="33"/>
      <c r="H12" s="32"/>
      <c r="I12" s="32"/>
      <c r="J12" s="32"/>
      <c r="K12" s="32"/>
      <c r="L12" s="32"/>
      <c r="M12" s="32"/>
    </row>
    <row r="13">
      <c r="A13" s="4" t="s">
        <v>27</v>
      </c>
      <c r="B13" s="35">
        <v>32541.09</v>
      </c>
      <c r="C13" s="33">
        <v>36115.7</v>
      </c>
      <c r="D13" s="33">
        <v>39562.49</v>
      </c>
      <c r="E13" s="32">
        <v>77993.07</v>
      </c>
      <c r="F13" s="32"/>
      <c r="G13" s="32"/>
      <c r="H13" s="32"/>
      <c r="I13" s="32"/>
      <c r="J13" s="32"/>
      <c r="K13" s="32"/>
      <c r="L13" s="32"/>
      <c r="M13" s="32"/>
    </row>
    <row r="14">
      <c r="A14" s="4" t="s">
        <v>29</v>
      </c>
      <c r="B14" s="26"/>
      <c r="C14" s="33"/>
      <c r="D14" s="33"/>
      <c r="E14" s="33"/>
      <c r="F14" s="33"/>
      <c r="G14" s="33"/>
      <c r="H14" s="32"/>
      <c r="I14" s="32"/>
      <c r="J14" s="32"/>
      <c r="K14" s="37"/>
      <c r="L14" s="37"/>
      <c r="M14" s="37"/>
    </row>
    <row r="15">
      <c r="A15" s="4" t="s">
        <v>30</v>
      </c>
      <c r="B15" s="35">
        <v>4237.0</v>
      </c>
      <c r="C15" s="43">
        <v>450.0</v>
      </c>
      <c r="D15" s="43">
        <v>6648.0</v>
      </c>
      <c r="E15" s="33">
        <v>23309.0</v>
      </c>
      <c r="F15" s="33"/>
      <c r="G15" s="33"/>
      <c r="H15" s="32"/>
      <c r="I15" s="32"/>
      <c r="J15" s="32"/>
      <c r="K15" s="32"/>
      <c r="L15" s="32"/>
      <c r="M15" s="32"/>
    </row>
    <row r="16">
      <c r="A16" s="4" t="s">
        <v>31</v>
      </c>
      <c r="B16" s="35">
        <v>6155.0</v>
      </c>
      <c r="C16" s="43">
        <v>12952.0</v>
      </c>
      <c r="D16" s="43">
        <v>8289.0</v>
      </c>
      <c r="E16" s="33">
        <v>4530.0</v>
      </c>
      <c r="F16" s="33"/>
      <c r="G16" s="33"/>
      <c r="H16" s="32"/>
      <c r="I16" s="32"/>
      <c r="J16" s="32"/>
      <c r="K16" s="32"/>
      <c r="L16" s="32"/>
      <c r="M16" s="32"/>
    </row>
    <row r="17">
      <c r="A17" s="4" t="s">
        <v>32</v>
      </c>
      <c r="B17" s="26"/>
      <c r="C17" s="16"/>
      <c r="D17" s="36"/>
      <c r="E17" s="16"/>
      <c r="F17" s="36"/>
      <c r="G17" s="16"/>
      <c r="H17" s="32"/>
      <c r="I17" s="32"/>
      <c r="J17" s="37"/>
      <c r="K17" s="37"/>
      <c r="L17" s="37"/>
      <c r="M17" s="37"/>
    </row>
    <row r="18">
      <c r="A18" s="4" t="s">
        <v>33</v>
      </c>
      <c r="B18" s="35">
        <v>1298.0</v>
      </c>
      <c r="C18" s="32">
        <v>648.0</v>
      </c>
      <c r="D18" s="33">
        <v>199185.0</v>
      </c>
      <c r="E18" s="32"/>
      <c r="F18" s="32"/>
      <c r="G18" s="32"/>
      <c r="H18" s="32"/>
      <c r="I18" s="32"/>
      <c r="J18" s="32"/>
      <c r="K18" s="32"/>
      <c r="L18" s="32"/>
      <c r="M18" s="32"/>
    </row>
    <row r="19">
      <c r="A19" s="4" t="s">
        <v>34</v>
      </c>
      <c r="B19" s="35">
        <v>21840.0</v>
      </c>
      <c r="C19" s="16"/>
      <c r="D19" s="33">
        <v>63489.0</v>
      </c>
      <c r="E19" s="16">
        <v>7196.0</v>
      </c>
      <c r="F19" s="36"/>
      <c r="G19" s="36"/>
      <c r="H19" s="32"/>
      <c r="I19" s="37"/>
      <c r="J19" s="37"/>
      <c r="K19" s="32"/>
      <c r="L19" s="32"/>
      <c r="M19" s="32"/>
    </row>
    <row r="20">
      <c r="A20" s="4" t="s">
        <v>35</v>
      </c>
      <c r="B20" s="35">
        <v>2619.0</v>
      </c>
      <c r="C20" s="33"/>
      <c r="D20" s="33"/>
      <c r="E20" s="33"/>
      <c r="F20" s="33"/>
      <c r="G20" s="33"/>
      <c r="H20" s="32"/>
      <c r="I20" s="37"/>
      <c r="J20" s="37"/>
      <c r="K20" s="32"/>
      <c r="L20" s="32"/>
      <c r="M20" s="37"/>
    </row>
    <row r="21">
      <c r="A21" s="4" t="s">
        <v>36</v>
      </c>
      <c r="B21" s="35">
        <v>76097.5</v>
      </c>
      <c r="C21" s="33">
        <v>39031.0</v>
      </c>
      <c r="D21" s="32">
        <v>167922.0</v>
      </c>
      <c r="E21" s="32">
        <v>37455.62</v>
      </c>
      <c r="F21" s="32"/>
      <c r="G21" s="32"/>
      <c r="H21" s="32"/>
      <c r="I21" s="32"/>
      <c r="J21" s="32"/>
      <c r="K21" s="32"/>
      <c r="L21" s="32"/>
      <c r="M21" s="32"/>
    </row>
    <row r="22">
      <c r="A22" s="4" t="s">
        <v>37</v>
      </c>
      <c r="B22" s="35">
        <v>155500.0</v>
      </c>
      <c r="C22" s="16"/>
      <c r="D22" s="33">
        <v>19518.0</v>
      </c>
      <c r="E22" s="33">
        <v>26434.66</v>
      </c>
      <c r="F22" s="33"/>
      <c r="G22" s="16"/>
      <c r="H22" s="32"/>
      <c r="I22" s="32"/>
      <c r="J22" s="32"/>
      <c r="K22" s="32"/>
      <c r="L22" s="32"/>
      <c r="M22" s="32"/>
    </row>
    <row r="23">
      <c r="A23" s="4" t="s">
        <v>39</v>
      </c>
      <c r="B23" s="51">
        <f t="shared" ref="B23:M23" si="1">SUM(B2:B22,B40,B38,B39)</f>
        <v>529112.95</v>
      </c>
      <c r="C23" s="51">
        <f t="shared" si="1"/>
        <v>200575.55</v>
      </c>
      <c r="D23" s="51">
        <f t="shared" si="1"/>
        <v>677363.67</v>
      </c>
      <c r="E23" s="51">
        <f t="shared" si="1"/>
        <v>224981.21</v>
      </c>
      <c r="F23" s="51">
        <f t="shared" si="1"/>
        <v>0</v>
      </c>
      <c r="G23" s="51">
        <f t="shared" si="1"/>
        <v>0</v>
      </c>
      <c r="H23" s="51">
        <f t="shared" si="1"/>
        <v>0</v>
      </c>
      <c r="I23" s="51">
        <f t="shared" si="1"/>
        <v>0</v>
      </c>
      <c r="J23" s="51">
        <f t="shared" si="1"/>
        <v>0</v>
      </c>
      <c r="K23" s="51">
        <f t="shared" si="1"/>
        <v>0</v>
      </c>
      <c r="L23" s="51">
        <f t="shared" si="1"/>
        <v>0</v>
      </c>
      <c r="M23" s="51">
        <f t="shared" si="1"/>
        <v>0</v>
      </c>
    </row>
    <row r="24">
      <c r="A24" s="54" t="s">
        <v>42</v>
      </c>
      <c r="B24" s="55">
        <f>SUM(B23:M23)</f>
        <v>1632033.38</v>
      </c>
    </row>
    <row r="25">
      <c r="A25" s="56" t="s">
        <v>43</v>
      </c>
      <c r="B25" s="57" t="s">
        <v>45</v>
      </c>
      <c r="C25" s="58" t="s">
        <v>46</v>
      </c>
      <c r="D25" s="59" t="s">
        <v>47</v>
      </c>
    </row>
    <row r="26">
      <c r="A26" s="60" t="s">
        <v>48</v>
      </c>
      <c r="C26" s="61"/>
    </row>
    <row r="27">
      <c r="A27" s="4" t="s">
        <v>49</v>
      </c>
      <c r="B27" s="9">
        <v>104845.0</v>
      </c>
      <c r="C27" s="49">
        <v>496257.64</v>
      </c>
      <c r="D27" s="43">
        <v>537901.24</v>
      </c>
      <c r="E27" s="11">
        <v>188128.76</v>
      </c>
      <c r="F27" s="11"/>
      <c r="G27" s="43"/>
      <c r="H27" s="11"/>
      <c r="I27" s="11"/>
      <c r="J27" s="11"/>
      <c r="K27" s="11"/>
      <c r="L27" s="11"/>
      <c r="M27" s="11"/>
    </row>
    <row r="28">
      <c r="A28" s="4" t="s">
        <v>50</v>
      </c>
      <c r="B28" s="9">
        <v>50000.0</v>
      </c>
      <c r="C28" s="10">
        <v>50000.0</v>
      </c>
      <c r="D28" s="10">
        <v>50000.0</v>
      </c>
      <c r="E28" s="10">
        <v>50000.0</v>
      </c>
      <c r="F28" s="10"/>
      <c r="G28" s="10"/>
      <c r="H28" s="11"/>
      <c r="I28" s="11"/>
      <c r="J28" s="11"/>
      <c r="K28" s="11"/>
      <c r="L28" s="11"/>
      <c r="M28" s="11"/>
    </row>
    <row r="29">
      <c r="A29" s="4" t="s">
        <v>51</v>
      </c>
      <c r="B29" s="9"/>
      <c r="C29" s="65">
        <v>9300.0</v>
      </c>
      <c r="D29" s="10"/>
      <c r="E29" s="10"/>
      <c r="F29" s="10"/>
      <c r="G29" s="10"/>
      <c r="H29" s="11"/>
      <c r="I29" s="11"/>
      <c r="J29" s="11"/>
      <c r="K29" s="11"/>
      <c r="L29" s="11"/>
      <c r="M29" s="11"/>
    </row>
    <row r="30">
      <c r="A30" s="66" t="s">
        <v>53</v>
      </c>
      <c r="B30" s="32"/>
      <c r="C30" s="11"/>
      <c r="D30" s="25">
        <v>34872.0</v>
      </c>
      <c r="E30" s="25">
        <v>5000.0</v>
      </c>
      <c r="F30" s="23"/>
      <c r="G30" s="23"/>
      <c r="H30" s="20"/>
      <c r="I30" s="20"/>
      <c r="J30" s="29"/>
      <c r="K30" s="29"/>
      <c r="L30" s="20"/>
      <c r="M30" s="29"/>
    </row>
    <row r="31">
      <c r="A31" s="66" t="s">
        <v>54</v>
      </c>
      <c r="B31" s="32">
        <v>21216.02</v>
      </c>
      <c r="C31" s="20">
        <v>8293.97</v>
      </c>
      <c r="D31" s="20">
        <v>26724.47</v>
      </c>
      <c r="E31" s="20"/>
      <c r="F31" s="23"/>
      <c r="G31" s="23"/>
      <c r="H31" s="20"/>
      <c r="I31" s="20"/>
      <c r="J31" s="20"/>
      <c r="K31" s="20"/>
      <c r="L31" s="20"/>
      <c r="M31" s="20"/>
    </row>
    <row r="32">
      <c r="A32" s="4" t="s">
        <v>55</v>
      </c>
      <c r="B32" s="9">
        <v>7500.0</v>
      </c>
      <c r="C32" s="43">
        <v>12586.0</v>
      </c>
      <c r="D32" s="10"/>
      <c r="E32" s="10"/>
      <c r="F32" s="10"/>
      <c r="G32" s="10"/>
      <c r="H32" s="11"/>
      <c r="I32" s="11"/>
      <c r="J32" s="11"/>
      <c r="K32" s="68"/>
      <c r="L32" s="11"/>
      <c r="M32" s="11"/>
    </row>
    <row r="33">
      <c r="A33" s="70" t="s">
        <v>41</v>
      </c>
      <c r="B33" s="71">
        <f>SUM(B27:B32)</f>
        <v>183561.02</v>
      </c>
      <c r="C33" s="71">
        <f>SUM(C26:C32)</f>
        <v>576437.61</v>
      </c>
      <c r="D33" s="71">
        <f t="shared" ref="D33:M33" si="2">SUM(D27:D32)</f>
        <v>649497.71</v>
      </c>
      <c r="E33" s="71">
        <f t="shared" si="2"/>
        <v>243128.76</v>
      </c>
      <c r="F33" s="71">
        <f t="shared" si="2"/>
        <v>0</v>
      </c>
      <c r="G33" s="71">
        <f t="shared" si="2"/>
        <v>0</v>
      </c>
      <c r="H33" s="71">
        <f t="shared" si="2"/>
        <v>0</v>
      </c>
      <c r="I33" s="71">
        <f t="shared" si="2"/>
        <v>0</v>
      </c>
      <c r="J33" s="71">
        <f t="shared" si="2"/>
        <v>0</v>
      </c>
      <c r="K33" s="71">
        <f t="shared" si="2"/>
        <v>0</v>
      </c>
      <c r="L33" s="71">
        <f t="shared" si="2"/>
        <v>0</v>
      </c>
      <c r="M33" s="71">
        <f t="shared" si="2"/>
        <v>0</v>
      </c>
    </row>
    <row r="34">
      <c r="A34" s="4" t="s">
        <v>61</v>
      </c>
      <c r="B34" s="51">
        <f>SUM(B33:M33)</f>
        <v>1652625.1</v>
      </c>
    </row>
    <row r="35">
      <c r="A35" s="60" t="s">
        <v>62</v>
      </c>
      <c r="B35" s="80">
        <f t="shared" ref="B35:M35" si="3">B33-B23</f>
        <v>-345551.93</v>
      </c>
      <c r="C35" s="80">
        <f t="shared" si="3"/>
        <v>375862.06</v>
      </c>
      <c r="D35" s="80">
        <f t="shared" si="3"/>
        <v>-27865.96</v>
      </c>
      <c r="E35" s="80">
        <f t="shared" si="3"/>
        <v>18147.55</v>
      </c>
      <c r="F35" s="80">
        <f t="shared" si="3"/>
        <v>0</v>
      </c>
      <c r="G35" s="80">
        <f t="shared" si="3"/>
        <v>0</v>
      </c>
      <c r="H35" s="80">
        <f t="shared" si="3"/>
        <v>0</v>
      </c>
      <c r="I35" s="80">
        <f t="shared" si="3"/>
        <v>0</v>
      </c>
      <c r="J35" s="80">
        <f t="shared" si="3"/>
        <v>0</v>
      </c>
      <c r="K35" s="80">
        <f t="shared" si="3"/>
        <v>0</v>
      </c>
      <c r="L35" s="80">
        <f t="shared" si="3"/>
        <v>0</v>
      </c>
      <c r="M35" s="80">
        <f t="shared" si="3"/>
        <v>0</v>
      </c>
    </row>
    <row r="36">
      <c r="A36" s="60"/>
    </row>
    <row r="37">
      <c r="A37" s="60" t="s">
        <v>63</v>
      </c>
    </row>
    <row r="38">
      <c r="A38" s="4" t="s">
        <v>64</v>
      </c>
      <c r="B38" s="9">
        <f>42493.99+312.51</f>
        <v>42806.5</v>
      </c>
      <c r="C38" s="84"/>
      <c r="D38" s="84"/>
      <c r="E38" s="84"/>
      <c r="F38" s="84"/>
      <c r="G38" s="84"/>
      <c r="H38" s="84"/>
      <c r="I38" s="84"/>
      <c r="J38" s="84"/>
      <c r="K38" s="84"/>
      <c r="L38" s="10"/>
      <c r="M38" s="84"/>
    </row>
    <row r="39">
      <c r="A39" s="4" t="s">
        <v>65</v>
      </c>
      <c r="B39" s="26"/>
      <c r="C39" s="10"/>
      <c r="D39" s="84"/>
      <c r="E39" s="84"/>
      <c r="F39" s="84"/>
      <c r="G39" s="84"/>
      <c r="H39" s="84"/>
      <c r="I39" s="84"/>
      <c r="J39" s="84"/>
      <c r="K39" s="84"/>
      <c r="L39" s="84"/>
      <c r="M39" s="84"/>
    </row>
    <row r="40">
      <c r="A40" s="4" t="s">
        <v>66</v>
      </c>
      <c r="B40" s="10">
        <v>50122.44</v>
      </c>
      <c r="C40" s="10">
        <v>50122.44</v>
      </c>
      <c r="D40" s="10">
        <v>50122.44</v>
      </c>
      <c r="E40" s="10"/>
      <c r="F40" s="10"/>
      <c r="G40" s="10"/>
      <c r="H40" s="10"/>
      <c r="I40" s="10"/>
      <c r="J40" s="10"/>
      <c r="K40" s="10"/>
      <c r="L40" s="10"/>
      <c r="M40" s="10"/>
    </row>
    <row r="42">
      <c r="A42" s="65" t="s">
        <v>67</v>
      </c>
      <c r="B42" s="80">
        <f>MINUS(B34,B24)</f>
        <v>20591.72</v>
      </c>
    </row>
    <row r="45">
      <c r="A45" s="10" t="s">
        <v>68</v>
      </c>
      <c r="B45" s="10" t="s">
        <v>69</v>
      </c>
      <c r="C45" s="10" t="s">
        <v>70</v>
      </c>
      <c r="D45" s="10" t="s">
        <v>71</v>
      </c>
      <c r="E45" s="10" t="s">
        <v>72</v>
      </c>
      <c r="F45" s="84"/>
    </row>
    <row r="46">
      <c r="A46" s="10" t="s">
        <v>73</v>
      </c>
      <c r="B46" s="10">
        <v>1500.0</v>
      </c>
      <c r="C46" s="10">
        <v>1480.0</v>
      </c>
      <c r="D46" s="10" t="s">
        <v>74</v>
      </c>
      <c r="E46" s="10">
        <v>2000.0</v>
      </c>
      <c r="F46" s="84"/>
    </row>
    <row r="47">
      <c r="A47" s="10" t="s">
        <v>75</v>
      </c>
      <c r="B47" s="10">
        <v>92.2</v>
      </c>
      <c r="C47" s="10">
        <v>94.6</v>
      </c>
      <c r="D47" s="11">
        <v>6980.5</v>
      </c>
      <c r="E47" s="10">
        <v>92.9</v>
      </c>
      <c r="F47" s="84"/>
    </row>
    <row r="48">
      <c r="A48" s="10" t="s">
        <v>76</v>
      </c>
      <c r="B48" s="84">
        <f t="shared" ref="B48:C48" si="4">MULTIPLY(B46,B47)</f>
        <v>138300</v>
      </c>
      <c r="C48" s="84">
        <f t="shared" si="4"/>
        <v>140008</v>
      </c>
      <c r="D48" s="87"/>
      <c r="E48" s="10">
        <v>185800.0</v>
      </c>
      <c r="F48" s="84"/>
      <c r="I48" s="49"/>
    </row>
    <row r="49">
      <c r="A49" s="10" t="s">
        <v>77</v>
      </c>
      <c r="B49" s="84"/>
      <c r="C49" s="84"/>
      <c r="D49" s="10">
        <v>139610.0</v>
      </c>
      <c r="E49" s="10"/>
      <c r="F49" s="84"/>
    </row>
    <row r="50">
      <c r="A50" s="10" t="s">
        <v>78</v>
      </c>
      <c r="B50" s="88">
        <f>IFERROR(__xludf.DUMMYFUNCTION(" GoogleFinance(""Currency:USDRUB"")"),80.67467)</f>
        <v>80.67467</v>
      </c>
      <c r="C50" s="88">
        <f>IFERROR(__xludf.DUMMYFUNCTION(" GoogleFinance(""Currency:USDRUB"")"),80.67467)</f>
        <v>80.67467</v>
      </c>
      <c r="D50" s="89"/>
      <c r="E50" s="84"/>
      <c r="F50" s="84"/>
    </row>
    <row r="51">
      <c r="A51" s="23" t="s">
        <v>79</v>
      </c>
      <c r="B51" s="90">
        <f>IFERROR(__xludf.DUMMYFUNCTION("IMPORTXML(""https://www.cbr.ru/scripts/XML_daily.asp?date_req=""&amp;TO_TEXT(TODAY()),""//ValCurs/Valute[NumCode=""""840""""]/Value"")"),80.6761)</f>
        <v>80.6761</v>
      </c>
      <c r="C51" s="90">
        <f>IFERROR(__xludf.DUMMYFUNCTION("IMPORTXML(""https://www.cbr.ru/scripts/XML_daily.asp?date_req=""&amp;TO_TEXT(TODAY()),""//ValCurs/Valute[NumCode=""""840""""]/Value"")"),80.6761)</f>
        <v>80.6761</v>
      </c>
    </row>
    <row r="52">
      <c r="A52" s="4" t="s">
        <v>80</v>
      </c>
      <c r="B52" s="91">
        <f t="shared" ref="B52:C52" si="5">(B51*B46)-B48</f>
        <v>-17285.85</v>
      </c>
      <c r="C52" s="91">
        <f t="shared" si="5"/>
        <v>-20607.372</v>
      </c>
      <c r="E52" s="92">
        <f>(C51*E46)-E48</f>
        <v>-24447.8</v>
      </c>
    </row>
    <row r="53">
      <c r="A53" s="4" t="s">
        <v>81</v>
      </c>
      <c r="B53" s="4">
        <f t="shared" ref="B53:C53" si="6">(B50*B46)-B48</f>
        <v>-17287.995</v>
      </c>
      <c r="C53" s="4">
        <f t="shared" si="6"/>
        <v>-20609.4884</v>
      </c>
      <c r="E53" s="92">
        <f>(C50*E46)-E48</f>
        <v>-24450.66</v>
      </c>
    </row>
    <row r="54">
      <c r="A54" s="6"/>
      <c r="B54" s="6"/>
    </row>
    <row r="56">
      <c r="A56" s="4" t="s">
        <v>82</v>
      </c>
      <c r="B56" s="96">
        <f>SUM(B48,B65,C48,D49)</f>
        <v>444318</v>
      </c>
    </row>
    <row r="57">
      <c r="A57" s="54" t="s">
        <v>83</v>
      </c>
      <c r="B57" s="97">
        <v>628138.0</v>
      </c>
      <c r="D57" s="98"/>
      <c r="E57" s="98"/>
    </row>
    <row r="59">
      <c r="C59" s="99"/>
    </row>
    <row r="62">
      <c r="A62" s="100" t="s">
        <v>84</v>
      </c>
      <c r="B62" s="101"/>
    </row>
    <row r="63">
      <c r="A63" s="10" t="s">
        <v>73</v>
      </c>
      <c r="B63" s="10">
        <v>4980.0</v>
      </c>
    </row>
    <row r="64">
      <c r="A64" s="10" t="s">
        <v>85</v>
      </c>
      <c r="B64" s="10" t="s">
        <v>86</v>
      </c>
    </row>
    <row r="65">
      <c r="A65" s="10" t="s">
        <v>87</v>
      </c>
      <c r="B65" s="43">
        <v>26400.0</v>
      </c>
    </row>
    <row r="67">
      <c r="B67" s="103"/>
      <c r="C67" s="103"/>
      <c r="D67" s="103"/>
      <c r="E67" s="103"/>
      <c r="F67" s="103"/>
    </row>
    <row r="68">
      <c r="A68" s="12" t="s">
        <v>88</v>
      </c>
      <c r="B68" s="38">
        <v>2040000.0</v>
      </c>
      <c r="C68" s="104"/>
      <c r="D68" s="104"/>
      <c r="E68" s="104"/>
      <c r="F68" s="104"/>
      <c r="G68" s="105"/>
    </row>
    <row r="69">
      <c r="A69" s="106" t="s">
        <v>89</v>
      </c>
      <c r="B69" s="65">
        <v>5125794.32</v>
      </c>
    </row>
    <row r="70">
      <c r="A70" s="65" t="s">
        <v>90</v>
      </c>
    </row>
    <row r="71">
      <c r="A71" s="12" t="s">
        <v>91</v>
      </c>
      <c r="B71" s="38">
        <v>500000.0</v>
      </c>
    </row>
    <row r="72">
      <c r="A72" s="65" t="s">
        <v>92</v>
      </c>
      <c r="B72" s="65">
        <v>940000.0</v>
      </c>
    </row>
    <row r="73">
      <c r="A73" s="90"/>
      <c r="B73" s="65" t="s">
        <v>93</v>
      </c>
      <c r="C73" s="65" t="s">
        <v>93</v>
      </c>
      <c r="D73" s="65" t="s">
        <v>93</v>
      </c>
      <c r="E73" s="65" t="s">
        <v>93</v>
      </c>
      <c r="F73" s="65" t="s">
        <v>93</v>
      </c>
      <c r="G73" s="65" t="s">
        <v>93</v>
      </c>
      <c r="H73" s="65" t="s">
        <v>93</v>
      </c>
      <c r="I73" s="65" t="s">
        <v>93</v>
      </c>
      <c r="J73" s="65" t="s">
        <v>93</v>
      </c>
      <c r="K73" s="65" t="s">
        <v>94</v>
      </c>
      <c r="L73" s="65" t="s">
        <v>94</v>
      </c>
      <c r="M73" s="65" t="s">
        <v>94</v>
      </c>
      <c r="N73" s="65" t="s">
        <v>94</v>
      </c>
      <c r="O73" s="65" t="s">
        <v>94</v>
      </c>
      <c r="P73" s="65" t="s">
        <v>94</v>
      </c>
      <c r="Q73" s="65" t="s">
        <v>94</v>
      </c>
    </row>
    <row r="74">
      <c r="A74" s="12"/>
      <c r="B74" s="108" t="s">
        <v>96</v>
      </c>
      <c r="C74" s="108" t="s">
        <v>97</v>
      </c>
      <c r="D74" s="108" t="s">
        <v>98</v>
      </c>
      <c r="E74" s="108" t="s">
        <v>99</v>
      </c>
      <c r="F74" s="108" t="s">
        <v>100</v>
      </c>
      <c r="G74" s="12" t="s">
        <v>101</v>
      </c>
      <c r="H74" s="108" t="s">
        <v>102</v>
      </c>
      <c r="I74" s="12" t="s">
        <v>103</v>
      </c>
      <c r="J74" s="12" t="s">
        <v>104</v>
      </c>
      <c r="K74" s="65" t="s">
        <v>105</v>
      </c>
      <c r="L74" s="65" t="s">
        <v>106</v>
      </c>
      <c r="M74" s="103" t="s">
        <v>107</v>
      </c>
      <c r="N74" s="103" t="s">
        <v>108</v>
      </c>
      <c r="O74" s="65" t="s">
        <v>109</v>
      </c>
      <c r="P74" s="65" t="s">
        <v>110</v>
      </c>
      <c r="Q74" s="109">
        <v>45983.0</v>
      </c>
    </row>
    <row r="75">
      <c r="A75" s="13" t="s">
        <v>112</v>
      </c>
      <c r="B75" s="108">
        <f>24400+2980*92.5058+20*6872.79</f>
        <v>437523.084</v>
      </c>
      <c r="C75" s="112">
        <f>24400+2980*90.9239+20*6891.61</f>
        <v>433185.422</v>
      </c>
      <c r="D75" s="112">
        <f>24400+90.1887*2980+20*7038.28</f>
        <v>433927.926</v>
      </c>
      <c r="E75" s="112">
        <f>24400+88.6852*2980+20*6661.07
</f>
        <v>421903.296</v>
      </c>
      <c r="F75" s="112">
        <f>24400+88.7436*2980+6677.83*20</f>
        <v>422412.528</v>
      </c>
      <c r="G75" s="112">
        <f>24400+88.2824*2980+20*6919.31</f>
        <v>425867.752</v>
      </c>
      <c r="H75" s="112">
        <f>24400+88.9062*2980+20*6993.5</f>
        <v>429210.476</v>
      </c>
      <c r="I75" s="38">
        <f>23120+96.4172*2980+20*8335.12</f>
        <v>477145.656</v>
      </c>
      <c r="J75" s="38">
        <f>24400+107.7409*2980+20*9151.23</f>
        <v>528492.482</v>
      </c>
      <c r="K75" s="92">
        <f>24400+97.8107*2980+20*8765.02</f>
        <v>491176.286</v>
      </c>
      <c r="L75" s="92">
        <f>24400+91.4347*2980+20*8517.87</f>
        <v>467232.806</v>
      </c>
      <c r="M75" s="92">
        <f>20220+89.2448*2980+20*8388.59</f>
        <v>453941.304</v>
      </c>
      <c r="N75" s="92">
        <f>24400+89.7878*4980+20*8388.59</f>
        <v>639315.044</v>
      </c>
      <c r="O75" s="92">
        <f>24400+84.3059*4980+20*8071.99</f>
        <v>605683.182</v>
      </c>
      <c r="P75" s="92">
        <f>26400+81.5556*4980+20*9298.65</f>
        <v>618519.888</v>
      </c>
      <c r="Q75" s="92">
        <f>26400+78.97044*4980+20*10392.98</f>
        <v>627532.3912</v>
      </c>
    </row>
    <row r="76">
      <c r="A76" s="12"/>
      <c r="B76" s="108">
        <f>B75-B56</f>
        <v>-6794.916</v>
      </c>
      <c r="C76" s="108">
        <f>C75-B56</f>
        <v>-11132.578</v>
      </c>
      <c r="D76" s="108">
        <f>D75-B56</f>
        <v>-10390.074</v>
      </c>
      <c r="E76" s="108">
        <f>E75-B56</f>
        <v>-22414.704</v>
      </c>
      <c r="F76" s="108">
        <f>F75-B56</f>
        <v>-21905.472</v>
      </c>
      <c r="G76" s="108">
        <f>G75-B56</f>
        <v>-18450.248</v>
      </c>
      <c r="H76" s="108">
        <f>H75-B56</f>
        <v>-15107.524</v>
      </c>
      <c r="I76" s="38">
        <f>I75-B56</f>
        <v>32827.656</v>
      </c>
      <c r="J76" s="38">
        <f>J75-B56</f>
        <v>84174.482</v>
      </c>
      <c r="K76" s="92">
        <f>K75-B56</f>
        <v>46858.286</v>
      </c>
      <c r="L76" s="92">
        <f>L75-B56</f>
        <v>22914.806</v>
      </c>
      <c r="M76" s="92">
        <f>M75-B56</f>
        <v>9623.304</v>
      </c>
      <c r="N76" s="115">
        <f>N75-B57</f>
        <v>11177.044</v>
      </c>
      <c r="O76" s="115">
        <f>O75-B57</f>
        <v>-22454.818</v>
      </c>
      <c r="P76" s="115">
        <f>P75-B57</f>
        <v>-9618.112</v>
      </c>
      <c r="Q76" s="115">
        <f>Q75-B57</f>
        <v>-605.6088</v>
      </c>
    </row>
    <row r="79">
      <c r="A79" s="65" t="s">
        <v>124</v>
      </c>
      <c r="B79" s="65">
        <v>353041.24</v>
      </c>
    </row>
    <row r="80">
      <c r="A80" s="65" t="s">
        <v>125</v>
      </c>
      <c r="B80" s="116">
        <v>557233.84</v>
      </c>
    </row>
    <row r="81">
      <c r="A81" s="65" t="s">
        <v>127</v>
      </c>
      <c r="B81" s="80">
        <f>SUM(B31:M31)</f>
        <v>56234.46</v>
      </c>
    </row>
    <row r="83">
      <c r="A83" s="65" t="s">
        <v>126</v>
      </c>
    </row>
  </sheetData>
  <mergeCells count="1">
    <mergeCell ref="A62:B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88"/>
  </cols>
  <sheetData>
    <row r="1">
      <c r="A1" s="1" t="s">
        <v>13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14</v>
      </c>
    </row>
    <row r="2">
      <c r="A2" s="4" t="s">
        <v>15</v>
      </c>
      <c r="B2" s="5"/>
      <c r="C2" s="10"/>
      <c r="D2" s="6"/>
      <c r="E2" s="6"/>
      <c r="F2" s="6"/>
      <c r="G2" s="6"/>
      <c r="H2" s="7"/>
      <c r="I2" s="7"/>
      <c r="J2" s="7"/>
      <c r="K2" s="7"/>
      <c r="L2" s="7"/>
      <c r="M2" s="7"/>
    </row>
    <row r="3">
      <c r="A3" s="4" t="s">
        <v>16</v>
      </c>
      <c r="B3" s="9"/>
      <c r="C3" s="10"/>
      <c r="D3" s="10"/>
      <c r="E3" s="6"/>
      <c r="F3" s="10"/>
      <c r="G3" s="10"/>
      <c r="H3" s="11"/>
      <c r="I3" s="11"/>
      <c r="J3" s="11"/>
      <c r="K3" s="11"/>
      <c r="L3" s="11"/>
      <c r="M3" s="11"/>
    </row>
    <row r="4">
      <c r="A4" s="4" t="s">
        <v>17</v>
      </c>
      <c r="B4" s="9"/>
      <c r="C4" s="10"/>
      <c r="D4" s="10"/>
      <c r="E4" s="10"/>
      <c r="F4" s="10"/>
      <c r="G4" s="10"/>
      <c r="H4" s="11"/>
      <c r="I4" s="11"/>
      <c r="J4" s="11"/>
      <c r="K4" s="11"/>
      <c r="L4" s="11"/>
      <c r="M4" s="11"/>
    </row>
    <row r="5">
      <c r="A5" s="4" t="s">
        <v>18</v>
      </c>
      <c r="B5" s="9"/>
      <c r="C5" s="10"/>
      <c r="D5" s="10"/>
      <c r="E5" s="10"/>
      <c r="F5" s="10"/>
      <c r="G5" s="10"/>
      <c r="H5" s="11"/>
      <c r="I5" s="11"/>
      <c r="J5" s="11"/>
      <c r="K5" s="11"/>
      <c r="L5" s="11"/>
      <c r="M5" s="11"/>
    </row>
    <row r="6">
      <c r="A6" s="4" t="s">
        <v>19</v>
      </c>
      <c r="B6" s="16"/>
      <c r="C6" s="16"/>
      <c r="D6" s="16"/>
      <c r="E6" s="16"/>
      <c r="F6" s="16"/>
      <c r="G6" s="16"/>
      <c r="H6" s="16"/>
      <c r="I6" s="20"/>
      <c r="J6" s="20"/>
      <c r="K6" s="20"/>
      <c r="L6" s="20"/>
      <c r="M6" s="20"/>
    </row>
    <row r="7">
      <c r="A7" s="4" t="s">
        <v>20</v>
      </c>
      <c r="B7" s="9"/>
      <c r="C7" s="23"/>
      <c r="D7" s="25"/>
      <c r="E7" s="25"/>
      <c r="F7" s="25"/>
      <c r="G7" s="25"/>
      <c r="H7" s="20"/>
      <c r="I7" s="20"/>
      <c r="J7" s="20"/>
      <c r="K7" s="20"/>
      <c r="L7" s="20"/>
      <c r="M7" s="20"/>
    </row>
    <row r="8">
      <c r="A8" s="4" t="s">
        <v>21</v>
      </c>
      <c r="B8" s="26"/>
      <c r="C8" s="27"/>
      <c r="D8" s="25"/>
      <c r="E8" s="28"/>
      <c r="F8" s="28"/>
      <c r="G8" s="28"/>
      <c r="H8" s="29"/>
      <c r="I8" s="29"/>
      <c r="J8" s="29"/>
      <c r="K8" s="29"/>
      <c r="L8" s="20"/>
      <c r="M8" s="29"/>
    </row>
    <row r="9">
      <c r="A9" s="4" t="s">
        <v>24</v>
      </c>
      <c r="B9" s="31"/>
      <c r="C9" s="11"/>
      <c r="D9" s="32"/>
      <c r="E9" s="33"/>
      <c r="F9" s="33"/>
      <c r="G9" s="33"/>
      <c r="H9" s="32"/>
      <c r="I9" s="32"/>
      <c r="J9" s="11"/>
      <c r="K9" s="32"/>
      <c r="L9" s="32"/>
      <c r="M9" s="32"/>
    </row>
    <row r="10">
      <c r="A10" s="4"/>
      <c r="B10" s="35"/>
      <c r="C10" s="33"/>
      <c r="D10" s="33"/>
      <c r="E10" s="32"/>
      <c r="F10" s="32"/>
      <c r="G10" s="36"/>
      <c r="H10" s="37"/>
      <c r="I10" s="37"/>
      <c r="J10" s="32"/>
      <c r="K10" s="37"/>
      <c r="L10" s="37"/>
      <c r="M10" s="37"/>
    </row>
    <row r="11">
      <c r="A11" s="4" t="s">
        <v>25</v>
      </c>
      <c r="B11" s="26"/>
      <c r="C11" s="33"/>
      <c r="D11" s="33"/>
      <c r="E11" s="32"/>
      <c r="F11" s="32"/>
      <c r="G11" s="36"/>
      <c r="H11" s="37"/>
      <c r="I11" s="37"/>
      <c r="J11" s="37"/>
      <c r="K11" s="37"/>
      <c r="L11" s="37"/>
      <c r="M11" s="37"/>
    </row>
    <row r="12">
      <c r="A12" s="4" t="s">
        <v>26</v>
      </c>
      <c r="B12" s="31"/>
      <c r="C12" s="33"/>
      <c r="D12" s="33"/>
      <c r="E12" s="32"/>
      <c r="F12" s="32"/>
      <c r="G12" s="33"/>
      <c r="H12" s="32"/>
      <c r="I12" s="32"/>
      <c r="J12" s="32"/>
      <c r="K12" s="32"/>
      <c r="L12" s="32"/>
      <c r="M12" s="32"/>
    </row>
    <row r="13">
      <c r="A13" s="4" t="s">
        <v>27</v>
      </c>
      <c r="B13" s="35"/>
      <c r="C13" s="33"/>
      <c r="D13" s="33"/>
      <c r="E13" s="32"/>
      <c r="F13" s="32"/>
      <c r="G13" s="32"/>
      <c r="H13" s="32"/>
      <c r="I13" s="32"/>
      <c r="J13" s="32"/>
      <c r="K13" s="32"/>
      <c r="L13" s="32"/>
      <c r="M13" s="32"/>
    </row>
    <row r="14">
      <c r="A14" s="4" t="s">
        <v>29</v>
      </c>
      <c r="B14" s="26"/>
      <c r="C14" s="33"/>
      <c r="D14" s="33"/>
      <c r="E14" s="33"/>
      <c r="F14" s="33"/>
      <c r="G14" s="33"/>
      <c r="H14" s="32"/>
      <c r="I14" s="32"/>
      <c r="J14" s="32"/>
      <c r="K14" s="37"/>
      <c r="L14" s="37"/>
      <c r="M14" s="37"/>
    </row>
    <row r="15">
      <c r="A15" s="4" t="s">
        <v>30</v>
      </c>
      <c r="B15" s="35"/>
      <c r="C15" s="43"/>
      <c r="D15" s="43"/>
      <c r="E15" s="33"/>
      <c r="F15" s="33"/>
      <c r="G15" s="33"/>
      <c r="H15" s="32"/>
      <c r="I15" s="32"/>
      <c r="J15" s="32"/>
      <c r="K15" s="32"/>
      <c r="L15" s="32"/>
      <c r="M15" s="32"/>
    </row>
    <row r="16">
      <c r="A16" s="4" t="s">
        <v>31</v>
      </c>
      <c r="B16" s="35"/>
      <c r="C16" s="43"/>
      <c r="D16" s="43"/>
      <c r="E16" s="33"/>
      <c r="F16" s="33"/>
      <c r="G16" s="33"/>
      <c r="H16" s="32"/>
      <c r="I16" s="32"/>
      <c r="J16" s="32"/>
      <c r="K16" s="32"/>
      <c r="L16" s="32"/>
      <c r="M16" s="32"/>
    </row>
    <row r="17">
      <c r="A17" s="4" t="s">
        <v>32</v>
      </c>
      <c r="B17" s="26"/>
      <c r="C17" s="16"/>
      <c r="D17" s="36"/>
      <c r="E17" s="16"/>
      <c r="F17" s="36"/>
      <c r="G17" s="16"/>
      <c r="H17" s="32"/>
      <c r="I17" s="32"/>
      <c r="J17" s="37"/>
      <c r="K17" s="37"/>
      <c r="L17" s="37"/>
      <c r="M17" s="37"/>
    </row>
    <row r="18">
      <c r="A18" s="4" t="s">
        <v>33</v>
      </c>
      <c r="B18" s="35"/>
      <c r="C18" s="32"/>
      <c r="D18" s="33"/>
      <c r="E18" s="32"/>
      <c r="F18" s="32"/>
      <c r="G18" s="32"/>
      <c r="H18" s="32"/>
      <c r="I18" s="32"/>
      <c r="J18" s="32"/>
      <c r="K18" s="32"/>
      <c r="L18" s="32"/>
      <c r="M18" s="32"/>
    </row>
    <row r="19">
      <c r="A19" s="4" t="s">
        <v>34</v>
      </c>
      <c r="B19" s="35"/>
      <c r="C19" s="16"/>
      <c r="D19" s="33"/>
      <c r="E19" s="16"/>
      <c r="F19" s="36"/>
      <c r="G19" s="36"/>
      <c r="H19" s="32"/>
      <c r="I19" s="37"/>
      <c r="J19" s="37"/>
      <c r="K19" s="32"/>
      <c r="L19" s="32"/>
      <c r="M19" s="32"/>
    </row>
    <row r="20">
      <c r="A20" s="4" t="s">
        <v>35</v>
      </c>
      <c r="B20" s="35"/>
      <c r="C20" s="33"/>
      <c r="D20" s="33"/>
      <c r="E20" s="33"/>
      <c r="F20" s="33"/>
      <c r="G20" s="33"/>
      <c r="H20" s="32"/>
      <c r="I20" s="37"/>
      <c r="J20" s="37"/>
      <c r="K20" s="32"/>
      <c r="L20" s="32"/>
      <c r="M20" s="37"/>
    </row>
    <row r="21">
      <c r="A21" s="4" t="s">
        <v>40</v>
      </c>
      <c r="B21" s="35"/>
      <c r="C21" s="33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>
      <c r="A22" s="4" t="s">
        <v>37</v>
      </c>
      <c r="B22" s="35"/>
      <c r="C22" s="16"/>
      <c r="D22" s="33"/>
      <c r="E22" s="33"/>
      <c r="F22" s="33"/>
      <c r="G22" s="16"/>
      <c r="H22" s="32"/>
      <c r="I22" s="32"/>
      <c r="J22" s="32"/>
      <c r="K22" s="32"/>
      <c r="L22" s="32"/>
      <c r="M22" s="32"/>
    </row>
    <row r="23">
      <c r="A23" s="4" t="s">
        <v>41</v>
      </c>
      <c r="B23" s="51">
        <f t="shared" ref="B23:M23" si="1">SUM(B2:B22,B40,B38,B39)</f>
        <v>0</v>
      </c>
      <c r="C23" s="51">
        <f t="shared" si="1"/>
        <v>0</v>
      </c>
      <c r="D23" s="51">
        <f t="shared" si="1"/>
        <v>0</v>
      </c>
      <c r="E23" s="51">
        <f t="shared" si="1"/>
        <v>0</v>
      </c>
      <c r="F23" s="51">
        <f t="shared" si="1"/>
        <v>0</v>
      </c>
      <c r="G23" s="51">
        <f t="shared" si="1"/>
        <v>0</v>
      </c>
      <c r="H23" s="51">
        <f t="shared" si="1"/>
        <v>0</v>
      </c>
      <c r="I23" s="51">
        <f t="shared" si="1"/>
        <v>0</v>
      </c>
      <c r="J23" s="51">
        <f t="shared" si="1"/>
        <v>0</v>
      </c>
      <c r="K23" s="51">
        <f t="shared" si="1"/>
        <v>0</v>
      </c>
      <c r="L23" s="51">
        <f t="shared" si="1"/>
        <v>0</v>
      </c>
      <c r="M23" s="51">
        <f t="shared" si="1"/>
        <v>0</v>
      </c>
    </row>
    <row r="24">
      <c r="A24" s="54" t="s">
        <v>42</v>
      </c>
      <c r="B24" s="55">
        <f>SUM(B23:M23)</f>
        <v>0</v>
      </c>
    </row>
    <row r="25">
      <c r="A25" s="65"/>
      <c r="B25" s="65"/>
      <c r="C25" s="65"/>
      <c r="D25" s="65"/>
    </row>
    <row r="26">
      <c r="A26" s="60" t="s">
        <v>52</v>
      </c>
      <c r="C26" s="61"/>
    </row>
    <row r="27">
      <c r="A27" s="4" t="s">
        <v>49</v>
      </c>
      <c r="B27" s="9"/>
      <c r="C27" s="49"/>
      <c r="D27" s="43"/>
      <c r="E27" s="11"/>
      <c r="F27" s="11"/>
      <c r="G27" s="43"/>
      <c r="H27" s="11"/>
      <c r="I27" s="11"/>
      <c r="J27" s="11"/>
      <c r="K27" s="11"/>
      <c r="L27" s="11"/>
      <c r="M27" s="11"/>
    </row>
    <row r="28">
      <c r="A28" s="4" t="s">
        <v>50</v>
      </c>
      <c r="B28" s="9"/>
      <c r="C28" s="10"/>
      <c r="D28" s="10"/>
      <c r="E28" s="10"/>
      <c r="F28" s="10"/>
      <c r="G28" s="10"/>
      <c r="H28" s="11"/>
      <c r="I28" s="11"/>
      <c r="J28" s="11"/>
      <c r="K28" s="11"/>
      <c r="L28" s="11">
        <v>50000.0</v>
      </c>
      <c r="M28" s="11"/>
    </row>
    <row r="29">
      <c r="A29" s="4" t="s">
        <v>51</v>
      </c>
      <c r="B29" s="9"/>
      <c r="D29" s="10"/>
      <c r="E29" s="10"/>
      <c r="F29" s="10"/>
      <c r="G29" s="10"/>
      <c r="H29" s="11"/>
      <c r="I29" s="11"/>
      <c r="J29" s="11"/>
      <c r="K29" s="11"/>
      <c r="L29" s="11">
        <v>7078.0</v>
      </c>
      <c r="M29" s="11"/>
    </row>
    <row r="30">
      <c r="A30" s="66" t="s">
        <v>53</v>
      </c>
      <c r="B30" s="32"/>
      <c r="C30" s="11"/>
      <c r="D30" s="25"/>
      <c r="E30" s="25"/>
      <c r="F30" s="23"/>
      <c r="G30" s="23"/>
      <c r="H30" s="20"/>
      <c r="I30" s="20"/>
      <c r="J30" s="29"/>
      <c r="K30" s="29"/>
      <c r="L30" s="20"/>
      <c r="M30" s="29"/>
    </row>
    <row r="31">
      <c r="A31" s="66" t="s">
        <v>54</v>
      </c>
      <c r="B31" s="32"/>
      <c r="C31" s="20"/>
      <c r="D31" s="20"/>
      <c r="E31" s="20"/>
      <c r="F31" s="23"/>
      <c r="G31" s="23"/>
      <c r="H31" s="20"/>
      <c r="I31" s="20"/>
      <c r="J31" s="20"/>
      <c r="K31" s="20"/>
      <c r="L31" s="20"/>
      <c r="M31" s="20"/>
    </row>
    <row r="32">
      <c r="A32" s="4" t="s">
        <v>55</v>
      </c>
      <c r="B32" s="9"/>
      <c r="C32" s="43"/>
      <c r="D32" s="10"/>
      <c r="E32" s="10"/>
      <c r="F32" s="10"/>
      <c r="G32" s="10"/>
      <c r="H32" s="11"/>
      <c r="I32" s="11"/>
      <c r="J32" s="11"/>
      <c r="K32" s="68"/>
      <c r="L32" s="11"/>
      <c r="M32" s="11"/>
    </row>
    <row r="33">
      <c r="A33" s="70" t="s">
        <v>41</v>
      </c>
      <c r="B33" s="71">
        <f>SUM(B27:B32)</f>
        <v>0</v>
      </c>
      <c r="C33" s="71">
        <f>SUM(C26:C32)</f>
        <v>0</v>
      </c>
      <c r="D33" s="71">
        <f t="shared" ref="D33:M33" si="2">SUM(D27:D32)</f>
        <v>0</v>
      </c>
      <c r="E33" s="71">
        <f t="shared" si="2"/>
        <v>0</v>
      </c>
      <c r="F33" s="71">
        <f t="shared" si="2"/>
        <v>0</v>
      </c>
      <c r="G33" s="71">
        <f t="shared" si="2"/>
        <v>0</v>
      </c>
      <c r="H33" s="71">
        <f t="shared" si="2"/>
        <v>0</v>
      </c>
      <c r="I33" s="71">
        <f t="shared" si="2"/>
        <v>0</v>
      </c>
      <c r="J33" s="71">
        <f t="shared" si="2"/>
        <v>0</v>
      </c>
      <c r="K33" s="71">
        <f t="shared" si="2"/>
        <v>0</v>
      </c>
      <c r="L33" s="71">
        <f t="shared" si="2"/>
        <v>57078</v>
      </c>
      <c r="M33" s="71">
        <f t="shared" si="2"/>
        <v>0</v>
      </c>
    </row>
    <row r="34">
      <c r="A34" s="4" t="s">
        <v>61</v>
      </c>
      <c r="B34" s="51">
        <f>SUM(B33:M33)</f>
        <v>57078</v>
      </c>
    </row>
    <row r="35">
      <c r="A35" s="60" t="s">
        <v>62</v>
      </c>
      <c r="B35" s="80">
        <f t="shared" ref="B35:M35" si="3">B33-B23</f>
        <v>0</v>
      </c>
      <c r="C35" s="80">
        <f t="shared" si="3"/>
        <v>0</v>
      </c>
      <c r="D35" s="80">
        <f t="shared" si="3"/>
        <v>0</v>
      </c>
      <c r="E35" s="80">
        <f t="shared" si="3"/>
        <v>0</v>
      </c>
      <c r="F35" s="80">
        <f t="shared" si="3"/>
        <v>0</v>
      </c>
      <c r="G35" s="80">
        <f t="shared" si="3"/>
        <v>0</v>
      </c>
      <c r="H35" s="80">
        <f t="shared" si="3"/>
        <v>0</v>
      </c>
      <c r="I35" s="80">
        <f t="shared" si="3"/>
        <v>0</v>
      </c>
      <c r="J35" s="80">
        <f t="shared" si="3"/>
        <v>0</v>
      </c>
      <c r="K35" s="80">
        <f t="shared" si="3"/>
        <v>0</v>
      </c>
      <c r="L35" s="80">
        <f t="shared" si="3"/>
        <v>57078</v>
      </c>
      <c r="M35" s="80">
        <f t="shared" si="3"/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4.13"/>
    <col customWidth="1" min="3" max="3" width="69.0"/>
  </cols>
  <sheetData>
    <row r="1">
      <c r="A1" s="65" t="s">
        <v>113</v>
      </c>
      <c r="B1" s="113" t="s">
        <v>114</v>
      </c>
    </row>
    <row r="2">
      <c r="A2" s="65" t="s">
        <v>115</v>
      </c>
      <c r="B2" s="114" t="s">
        <v>116</v>
      </c>
    </row>
    <row r="3">
      <c r="A3" s="65" t="s">
        <v>117</v>
      </c>
      <c r="B3" s="114" t="s">
        <v>118</v>
      </c>
    </row>
    <row r="4">
      <c r="A4" s="65" t="s">
        <v>119</v>
      </c>
      <c r="B4" s="114" t="s">
        <v>120</v>
      </c>
    </row>
    <row r="5">
      <c r="A5" s="65" t="s">
        <v>121</v>
      </c>
      <c r="B5" s="65" t="s">
        <v>122</v>
      </c>
      <c r="C5" s="114" t="s">
        <v>123</v>
      </c>
    </row>
  </sheetData>
  <hyperlinks>
    <hyperlink r:id="rId1" ref="B1"/>
    <hyperlink r:id="rId2" ref="B2"/>
    <hyperlink r:id="rId3" ref="B3"/>
    <hyperlink r:id="rId4" ref="B4"/>
    <hyperlink r:id="rId5" location="rating" ref="C5"/>
  </hyperlinks>
  <drawing r:id="rId6"/>
</worksheet>
</file>